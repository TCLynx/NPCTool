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clyn\Desktop\NPCTool_1_1_38\"/>
    </mc:Choice>
  </mc:AlternateContent>
  <xr:revisionPtr revIDLastSave="0" documentId="13_ncr:1_{EB31327F-AC3E-459A-89C1-7C3813CB215E}" xr6:coauthVersionLast="47" xr6:coauthVersionMax="47" xr10:uidLastSave="{00000000-0000-0000-0000-000000000000}"/>
  <bookViews>
    <workbookView xWindow="-120" yWindow="-120" windowWidth="20730" windowHeight="11310" firstSheet="2" activeTab="5" xr2:uid="{0FE6642A-A8CA-4001-81BA-C832E0114BFD}"/>
  </bookViews>
  <sheets>
    <sheet name="Instructions" sheetId="4" r:id="rId1"/>
    <sheet name="Field descriptions" sheetId="6" r:id="rId2"/>
    <sheet name="NPC_Tool_test_examples" sheetId="1" r:id="rId3"/>
    <sheet name="NPCToolTest_blank" sheetId="2" r:id="rId4"/>
    <sheet name="NPCToolTest_blank (2)" sheetId="3" r:id="rId5"/>
    <sheet name="URL" sheetId="5" r:id="rId6"/>
  </sheets>
  <functionGroups builtInGroupCount="19"/>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5" i="5" l="1"/>
  <c r="AF14" i="5"/>
  <c r="AF13" i="5"/>
  <c r="AF12" i="5"/>
  <c r="AF11" i="5"/>
  <c r="AF10" i="5"/>
  <c r="AF9" i="5"/>
  <c r="AF8" i="5"/>
  <c r="AF7" i="5"/>
  <c r="AF6" i="5"/>
  <c r="AF5" i="5"/>
  <c r="AF4" i="5"/>
  <c r="AF3" i="5"/>
  <c r="AF2" i="5"/>
  <c r="AE15" i="5"/>
  <c r="AE14" i="5"/>
  <c r="AE13" i="5"/>
  <c r="AE12" i="5"/>
  <c r="AE11" i="5"/>
  <c r="AE10" i="5"/>
  <c r="AE9" i="5"/>
  <c r="AE8" i="5"/>
  <c r="AE7" i="5"/>
  <c r="AE6" i="5"/>
  <c r="AE5" i="5"/>
  <c r="AE4" i="5"/>
  <c r="AE3" i="5"/>
  <c r="AE2" i="5"/>
  <c r="AD15" i="5"/>
  <c r="AD14" i="5"/>
  <c r="AD13" i="5"/>
  <c r="AD12" i="5"/>
  <c r="AD11" i="5"/>
  <c r="AD10" i="5"/>
  <c r="AD9" i="5"/>
  <c r="AD8" i="5"/>
  <c r="AD7" i="5"/>
  <c r="AD6" i="5"/>
  <c r="AD5" i="5"/>
  <c r="AD4" i="5"/>
  <c r="AD3" i="5"/>
  <c r="AD2" i="5"/>
  <c r="AC15" i="5"/>
  <c r="AC14" i="5"/>
  <c r="AC13" i="5"/>
  <c r="AC12" i="5"/>
  <c r="AC11" i="5"/>
  <c r="AC10" i="5"/>
  <c r="AC9" i="5"/>
  <c r="AC8" i="5"/>
  <c r="AC7" i="5"/>
  <c r="AC6" i="5"/>
  <c r="AC5" i="5"/>
  <c r="AC4" i="5"/>
  <c r="AC3" i="5"/>
  <c r="AC2" i="5"/>
  <c r="AB15" i="5"/>
  <c r="AB14" i="5"/>
  <c r="AB13" i="5"/>
  <c r="AB12" i="5"/>
  <c r="AB11" i="5"/>
  <c r="AB10" i="5"/>
  <c r="AB9" i="5"/>
  <c r="AB8" i="5"/>
  <c r="AB7" i="5"/>
  <c r="AB6" i="5"/>
  <c r="AB5" i="5"/>
  <c r="AB4" i="5"/>
  <c r="AB3" i="5"/>
  <c r="AB2" i="5"/>
  <c r="AA15" i="5"/>
  <c r="AA14" i="5"/>
  <c r="AA13" i="5"/>
  <c r="AA12" i="5"/>
  <c r="AA11" i="5"/>
  <c r="AA10" i="5"/>
  <c r="AA9" i="5"/>
  <c r="AA8" i="5"/>
  <c r="AA7" i="5"/>
  <c r="AA6" i="5"/>
  <c r="AA5" i="5"/>
  <c r="AA4" i="5"/>
  <c r="AA3" i="5"/>
  <c r="AA2" i="5"/>
  <c r="AG15" i="5"/>
  <c r="AG14" i="5"/>
  <c r="AG13" i="5"/>
  <c r="AG12" i="5"/>
  <c r="AG11" i="5"/>
  <c r="AG10" i="5"/>
  <c r="AG9" i="5"/>
  <c r="AG8" i="5"/>
  <c r="AG7" i="5"/>
  <c r="AG6" i="5"/>
  <c r="AG5" i="5"/>
  <c r="AG4" i="5"/>
  <c r="AG3" i="5"/>
  <c r="AG2" i="5"/>
  <c r="AF1" i="2"/>
  <c r="AE1" i="2"/>
  <c r="AD1" i="2"/>
  <c r="AC1" i="2"/>
  <c r="AB1" i="2"/>
  <c r="AA1" i="2"/>
</calcChain>
</file>

<file path=xl/sharedStrings.xml><?xml version="1.0" encoding="utf-8"?>
<sst xmlns="http://schemas.openxmlformats.org/spreadsheetml/2006/main" count="518" uniqueCount="219">
  <si>
    <t>scene_tag</t>
  </si>
  <si>
    <t>npc_name</t>
  </si>
  <si>
    <t>text</t>
  </si>
  <si>
    <t>button_name_1</t>
  </si>
  <si>
    <t>button_name_2</t>
  </si>
  <si>
    <t>button_name_3</t>
  </si>
  <si>
    <t>button_name_4</t>
  </si>
  <si>
    <t>button_name_5</t>
  </si>
  <si>
    <t>button_name_6</t>
  </si>
  <si>
    <t>button_commands_1</t>
  </si>
  <si>
    <t>button_commands_2</t>
  </si>
  <si>
    <t>button_commands_3</t>
  </si>
  <si>
    <t>button_commands_4</t>
  </si>
  <si>
    <t>button_commands_5</t>
  </si>
  <si>
    <t>button_commands_6</t>
  </si>
  <si>
    <t xml:space="preserve"> on_close_commands</t>
  </si>
  <si>
    <t>on_open_commands</t>
  </si>
  <si>
    <t>text_lang</t>
  </si>
  <si>
    <t>Language</t>
  </si>
  <si>
    <t>button_name_1_lang</t>
  </si>
  <si>
    <t xml:space="preserve"> button_name_2_lang</t>
  </si>
  <si>
    <t>button_name_3_lang</t>
  </si>
  <si>
    <t>button_name_4_lang</t>
  </si>
  <si>
    <t>button_name_5_lang</t>
  </si>
  <si>
    <t>button_name_6_lang</t>
  </si>
  <si>
    <t>en_US</t>
  </si>
  <si>
    <t>I am here to introduce you to this lesson world.  Please follow all the rules and we should get along fine.</t>
  </si>
  <si>
    <t>Need Food?</t>
  </si>
  <si>
    <t>"/give @initiator apple","/give @initiator carrot 2"</t>
  </si>
  <si>
    <t>"url": "https://google.com"</t>
  </si>
  <si>
    <t>"/tag @initiator add introduced"</t>
  </si>
  <si>
    <t>Summon Command</t>
  </si>
  <si>
    <t>intro_example_1</t>
  </si>
  <si>
    <t>John_Doe</t>
  </si>
  <si>
    <t>"/dialogue open @s @initiator test_example_1"</t>
  </si>
  <si>
    <t>URL (Rules)</t>
  </si>
  <si>
    <t>test_example_1</t>
  </si>
  <si>
    <t>Allison</t>
  </si>
  <si>
    <t>This is to test the Dialogue tool.</t>
  </si>
  <si>
    <t>Does this work?</t>
  </si>
  <si>
    <t>"/tp @initiator ~ ~1 ~","/give @initiator apple"</t>
  </si>
  <si>
    <t>Help Test?</t>
  </si>
  <si>
    <t>"/tell @initiator Thank You"</t>
  </si>
  <si>
    <t>robot_example</t>
  </si>
  <si>
    <t>Robot</t>
  </si>
  <si>
    <t>I am just a robot and not even artificially intelegent.</t>
  </si>
  <si>
    <t>"/say Robot Dialogue Open"</t>
  </si>
  <si>
    <t>"/say Robot Dialogue Closed"</t>
  </si>
  <si>
    <t>"/say 1", "/give @initiator apple 1"</t>
  </si>
  <si>
    <t>"/say 2","/give @initiator fish 2"</t>
  </si>
  <si>
    <t>"/say 4","/give @initiator arrow 4"</t>
  </si>
  <si>
    <t>"/say 5","/give @initiator log 5"</t>
  </si>
  <si>
    <t>"/say 6","/give @initiator stone 6"</t>
  </si>
  <si>
    <t>"/say 3","/give @initiator chicken 3"</t>
  </si>
  <si>
    <t>button_name_1 _formula</t>
  </si>
  <si>
    <t>button_name_2 _formula</t>
  </si>
  <si>
    <t>button_name_3 _formula</t>
  </si>
  <si>
    <t>button_name_4 _formula</t>
  </si>
  <si>
    <t>button_name_5 _formula</t>
  </si>
  <si>
    <t>button_name_6 _formula</t>
  </si>
  <si>
    <t>When ready, click the Macro button in the top Left of the sheet to create your files. The Macro works on one Sheet at a time.</t>
  </si>
  <si>
    <t>Viewing and editing the files can be done in a text editor.  Make sure to rename or move the files if you want to save them but need to re-run the macro as it will overwrite the files in the same directory with the same name.</t>
  </si>
  <si>
    <t>Once all is said and done, the filename.diag.json file/s will need to be placed into a dialogue folder within a behavior pack that needs to be active on a world in order for the dialogue scenes to be available for use within the world via the /dialogue open or /cialogue change commands.  The .lang file will need to be placed in the resource pack texts folder.  And it will need to be titled with the language code.  For example en_US.lang is what I would use for US English.  The Language files for any single language will need to be consolidated into a single .lang file and any duplicate buttons can be removed (as in the same button name could be used for more than one scene or even dialogue file.)</t>
  </si>
  <si>
    <t>Fill in any of the fields you want to use.  Green Header means mandatory.  Red Header means the macro will auto fill those fields and you shouldn't.</t>
  </si>
  <si>
    <t>When you fill any of the Commands Fields (Headers in Yellow), you Must use "" aroun your commands and you must use the / before the command.  See Examples.</t>
  </si>
  <si>
    <t>I recommend making a copy of the NPCToolTest_blank sheet.  (Right click on the sheet tab at bottom and choose Move or Copy and be sure to check the box make copy.) Then you can rename it to whatever you like as your filename.  If you want to create more than one file, just do more than one sheet.</t>
  </si>
  <si>
    <r>
      <t xml:space="preserve">This tool is still under development and comes with no warranty or guarantee. 
</t>
    </r>
    <r>
      <rPr>
        <b/>
        <sz val="11"/>
        <color theme="1"/>
        <rFont val="Calibri"/>
        <family val="2"/>
        <scheme val="minor"/>
      </rPr>
      <t xml:space="preserve">
</t>
    </r>
  </si>
  <si>
    <t>https://discord.com/channels/412297987210084353/1126162935094464522</t>
  </si>
  <si>
    <t>Discussion on this tool can be found here https://discord.com/channels/412297987210084353/1126162935094464522</t>
  </si>
  <si>
    <t>https://discord.gg/7fSQBdx</t>
  </si>
  <si>
    <t>Invite to the Server is</t>
  </si>
  <si>
    <t>By Aleece B. Landis (otherwise known as TCLynx) tclynx@aquaponiclynx.com</t>
  </si>
  <si>
    <t>Before you start, make sure you save your workbook in the location where you want your files created.  XL has a habit of saving to strange places for me and I've discovered stuff being saved into the templates folder as I've been working on this.  Double Check where yoru workbook is saved before you run the macro.  I will create a macro button that will simply save the workbook in the same folder as the template you just used to create it.  This current Packs update is set up to create the folders you will need in your behavior pack and your resource pack.  The Lang file will still need editing because I have not yet written code to handle duplicates.</t>
  </si>
  <si>
    <t xml:space="preserve">The Folders created can have a manifest file added and then simply place them in the development_resource_packs or development_behavior_packs folder based on if it ends in RP for resource pack or BP for behavior pack.  If you don't know how to handle creating the manifest.json files for these, I have packaged the Tool in a zip file that already has the folders created and I have included a set of manifest.json files for the BP and RP folders.  If you are creating more than one addon with these you will need to update names, version numbers and/or uuids for the manifest files but what I supplied should at least get you started exploring the use of dialogue files.
</t>
  </si>
  <si>
    <t>test_tag</t>
  </si>
  <si>
    <t>TESTNAME</t>
  </si>
  <si>
    <t>Ñ Á É</t>
  </si>
  <si>
    <t>Í Ó Ú</t>
  </si>
  <si>
    <t>es_ES</t>
  </si>
  <si>
    <t>None</t>
  </si>
  <si>
    <t>dialogue.button.need_food</t>
  </si>
  <si>
    <t>dialogue.button.does_this_work</t>
  </si>
  <si>
    <t>dialogue.button.1</t>
  </si>
  <si>
    <t>dialogue.button.ñ_á_é</t>
  </si>
  <si>
    <t>dialogue.button.url_rules</t>
  </si>
  <si>
    <t>dialogue.button.help_test</t>
  </si>
  <si>
    <t>dialogue.button.2</t>
  </si>
  <si>
    <t>dialogue.button.í_ó_ú</t>
  </si>
  <si>
    <t>dialogue.button.3</t>
  </si>
  <si>
    <t>dialogue.button.4</t>
  </si>
  <si>
    <t>dialogue.button.5</t>
  </si>
  <si>
    <t>dialogue.button.6</t>
  </si>
  <si>
    <t>/summon npc John_Doe ~ ~ ~</t>
  </si>
  <si>
    <t>/summon npc Allison ~ ~ ~</t>
  </si>
  <si>
    <t>/summon npc Robot ~ ~ ~</t>
  </si>
  <si>
    <t>/summon npc TESTNAME ~ ~ ~</t>
  </si>
  <si>
    <t>/summon npc None ~ ~ ~</t>
  </si>
  <si>
    <t>Spanish symbols: testing to see if we can have line breaks
ñ ¡ ¿ á é í ó ú and another one</t>
  </si>
  <si>
    <t>dialogue.intro_example_1</t>
  </si>
  <si>
    <t>dialogue.test_example_1</t>
  </si>
  <si>
    <t>dialogue.robot_example</t>
  </si>
  <si>
    <t>dialogue.test_tag</t>
  </si>
  <si>
    <t>No_nothin_2</t>
  </si>
  <si>
    <t>No_nothin_1</t>
  </si>
  <si>
    <t>Now what do we do?</t>
  </si>
  <si>
    <t>And the line break test.</t>
  </si>
  <si>
    <t>dialogue.No_nothin_1</t>
  </si>
  <si>
    <t>dialogue.No_nothin_2</t>
  </si>
  <si>
    <t>Special Thanks to NicoChiari for helping with the Encoding to make Spanish language symbols available</t>
  </si>
  <si>
    <t>url_test</t>
  </si>
  <si>
    <t>URL</t>
  </si>
  <si>
    <t>I want to make sure there is a URL in this one.</t>
  </si>
  <si>
    <t>dialogue.url_test</t>
  </si>
  <si>
    <t>/summon npc URL ~ ~ ~</t>
  </si>
  <si>
    <t>If you would like to use more than one command in any of the command fields you may do that, simply put a , after the previous command and then alt + Enter to add a line break into the field so that each command will be on it's own line.  The line break is NOT mandator though it will make the dialogue file easier to read.  The comma between multiple commands in the cell IS MANDATORY.  Do not add a comma after the last command in the cell.</t>
  </si>
  <si>
    <t>If you want to use URL, please enter them like this "url": "https://google.com"  Only one URL per command field, do not mix URL and commands.  URL must have http:// or https://</t>
  </si>
  <si>
    <t>Unique Identifier for each dialogue</t>
  </si>
  <si>
    <t>The text that will show in the dialogue bubble for the scene.</t>
  </si>
  <si>
    <t>Commands that will execute when the Dialogue is opened.</t>
  </si>
  <si>
    <t>Commands that will execute when the Dialogue is closed.</t>
  </si>
  <si>
    <t>URL or commands to be executed when pressing the first button.</t>
  </si>
  <si>
    <t>URL or commands to be executed when pressing the second button.</t>
  </si>
  <si>
    <t>URL or commands to be executed when pressing the third button.</t>
  </si>
  <si>
    <t>URL or commands to be executed when pressing the fourth button.</t>
  </si>
  <si>
    <t>URL or commands to be executed when pressing the fifth button.</t>
  </si>
  <si>
    <t>URL or commands to be executed when pressing the sixth button.</t>
  </si>
  <si>
    <t>Green fields are mandatory</t>
  </si>
  <si>
    <t>White could be left blank.</t>
  </si>
  <si>
    <t>Yellow is optional</t>
  </si>
  <si>
    <t>Button names should be fairly short.  If you need to give more information, add it to the text.</t>
  </si>
  <si>
    <t>Use this format for commands "/give @initiator apple"</t>
  </si>
  <si>
    <t>Red is for the Macro and formula, Leave  alone.</t>
  </si>
  <si>
    <t>If you need more than one command, simply put a , between commands.  No spaces between and No comma at the end.</t>
  </si>
  <si>
    <t>Use " " around commands and use the leading / this format for commands "/give @initiator apple"</t>
  </si>
  <si>
    <t>This name can be used to summon an NPC in the game using the summon command supplied in field Z.</t>
  </si>
  <si>
    <t>Optional. Include this to create buttons for your NPC. Its properties are name and commands. The name property sets the text that is going to be displayed on your NPC's button. The commands property is the commands which will be run in-game when the button is pressed. These are required for NPC buttons to appear on the dialogue.</t>
  </si>
  <si>
    <t>This dialog box has a limit of 307 characters before the text goes off the screen (scroll bar does appear.) You can also use color codes to change the color of the text.</t>
  </si>
  <si>
    <t>Can be used in game to summon the NPCs at your desired location.</t>
  </si>
  <si>
    <t>Name on the first button.  Character limit 15-16</t>
  </si>
  <si>
    <t>Name on the second button.  Character limit 15-16</t>
  </si>
  <si>
    <t>Name on the third button.  Character limit 15-16</t>
  </si>
  <si>
    <t>Name on the fourth button.  Character limit 15-16</t>
  </si>
  <si>
    <t>Name on the fifth button.  Character limit 15-16</t>
  </si>
  <si>
    <t>Name on the sixth button.  Character limit 15-16</t>
  </si>
  <si>
    <t>Translation Comments</t>
  </si>
  <si>
    <t>text_comments</t>
  </si>
  <si>
    <t>button_1_comments</t>
  </si>
  <si>
    <t>button_2_comments</t>
  </si>
  <si>
    <t>button_3_comments</t>
  </si>
  <si>
    <t>button_4_comments</t>
  </si>
  <si>
    <t>button_5_comments</t>
  </si>
  <si>
    <t>button_6_comments</t>
  </si>
  <si>
    <t>https://learn.microsoft.com/en-us/minecraft/creator/documents/preparingrawtextforlocalization</t>
  </si>
  <si>
    <t>See URL for best practice on commenting for translation</t>
  </si>
  <si>
    <t>npc_name_lang</t>
  </si>
  <si>
    <t>npc_name_lang_formula</t>
  </si>
  <si>
    <t>npc_name_comments</t>
  </si>
  <si>
    <t>https://learn.microsoft.com/en-us/minecraft/creator/documents/npcdialogue</t>
  </si>
  <si>
    <t>To actually use your dialogue scenes in game.  You will need to use the /dialogue commands to make sure the saved scenes open as you wish them to.  The following link has more information on using the /dialogue commands.</t>
  </si>
  <si>
    <t>Best practice, all lower case and no spaces.  Start with a letter.  The scene_tag will be used as the key for the text in the language file.</t>
  </si>
  <si>
    <t>Translation comments for npc_name are in field AI</t>
  </si>
  <si>
    <t>Translation comments for text are in field AJ</t>
  </si>
  <si>
    <t>Translation comments for button_name_1 are in field AK</t>
  </si>
  <si>
    <t>Translation comments for button_name_2 are in field AL</t>
  </si>
  <si>
    <t>Translation comments for button_name_3 are in field AM</t>
  </si>
  <si>
    <t>Translation comments for button_name_4 are in field AN</t>
  </si>
  <si>
    <t>Translation comments for button_name_5 are in field AO</t>
  </si>
  <si>
    <t>Translation comments for button_name_6 are in field AP</t>
  </si>
  <si>
    <t>These are not Mandatory</t>
  </si>
  <si>
    <t>They are recommended</t>
  </si>
  <si>
    <t>If you will be having your content translated.</t>
  </si>
  <si>
    <t>Name for the NPC in the Dialogue Names are limited to 32 characters.</t>
  </si>
  <si>
    <t>Not Mandatory for the Dialogue but helpful for summoning NPC and choosing who to show in it.</t>
  </si>
  <si>
    <t>dialogue.npc_name.john_doe</t>
  </si>
  <si>
    <t>dialogue.npc_name.url</t>
  </si>
  <si>
    <t>dialogue.npc_name.none</t>
  </si>
  <si>
    <t>dialogue.npc_name.allison</t>
  </si>
  <si>
    <t>dialogue.npc_name.robot</t>
  </si>
  <si>
    <t>dialogue.npc_name.testname</t>
  </si>
  <si>
    <t>NPC Tool 1.1.38 BetaPacks test copy</t>
  </si>
  <si>
    <t>dialogue.button.url_rules_1</t>
  </si>
  <si>
    <t>_1</t>
  </si>
  <si>
    <t>_2</t>
  </si>
  <si>
    <t>_3</t>
  </si>
  <si>
    <t>_4</t>
  </si>
  <si>
    <t>_5</t>
  </si>
  <si>
    <t>dialogue.button.need_food_1</t>
  </si>
  <si>
    <t>dialogue.button.url_rules_2</t>
  </si>
  <si>
    <t>dialogue.button.does_this_work_1</t>
  </si>
  <si>
    <t>dialogue.button.1_1</t>
  </si>
  <si>
    <t>dialogue.button.ñ_á_é_1</t>
  </si>
  <si>
    <t>dialogue.button.url_rules_3</t>
  </si>
  <si>
    <t>dialogue.button.help_test_1</t>
  </si>
  <si>
    <t>dialogue.button.2_1</t>
  </si>
  <si>
    <t>dialogue.button.í_ó_ú_1</t>
  </si>
  <si>
    <t>_6</t>
  </si>
  <si>
    <t>dialogue.button.3_1</t>
  </si>
  <si>
    <t>_7</t>
  </si>
  <si>
    <t>_8</t>
  </si>
  <si>
    <t>_9</t>
  </si>
  <si>
    <t>dialogue.button.4_1</t>
  </si>
  <si>
    <t>_10</t>
  </si>
  <si>
    <t>_11</t>
  </si>
  <si>
    <t>dialogue.button.5_1</t>
  </si>
  <si>
    <t>dialogue.button.6_1</t>
  </si>
  <si>
    <t>intro_example_12</t>
  </si>
  <si>
    <t>url_test2</t>
  </si>
  <si>
    <t>No_nothin_12</t>
  </si>
  <si>
    <t>test_example_12</t>
  </si>
  <si>
    <t>robot_example2</t>
  </si>
  <si>
    <t>test_tag2</t>
  </si>
  <si>
    <t>No_nothin_22</t>
  </si>
  <si>
    <t>dialogue.intro_example_12</t>
  </si>
  <si>
    <t>dialogue.url_test2</t>
  </si>
  <si>
    <t>dialogue.No_nothin_12</t>
  </si>
  <si>
    <t>dialogue.test_example_12</t>
  </si>
  <si>
    <t>dialogue.robot_example2</t>
  </si>
  <si>
    <t>dialogue.test_tag2</t>
  </si>
  <si>
    <t>dialogue.No_nothin_22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</si>
</sst>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2"/>
      <color rgb="FFDBDEE1"/>
      <name val="Noto Sans"/>
      <family val="2"/>
      <charset val="1"/>
    </font>
    <font>
      <sz val="8"/>
      <name val="Calibri"/>
      <family val="2"/>
      <scheme val="minor"/>
    </font>
    <font>
      <sz val="11"/>
      <color rgb="FF000000"/>
      <name val="Calibri"/>
      <family val="2"/>
    </font>
    <font>
      <sz val="11"/>
      <color theme="0"/>
      <name val="Calibri"/>
      <family val="2"/>
      <scheme val="minor"/>
    </font>
    <font>
      <sz val="11"/>
      <name val="Calibri"/>
      <family val="2"/>
      <scheme val="minor"/>
    </font>
    <font>
      <b/>
      <sz val="11"/>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rgb="FFFF0000"/>
        <bgColor indexed="64"/>
      </patternFill>
    </fill>
    <fill>
      <patternFill patternType="solid">
        <fgColor rgb="FF00B050"/>
        <bgColor indexed="64"/>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22">
    <xf numFmtId="0" fontId="0" fillId="0" borderId="0" xfId="0"/>
    <xf numFmtId="0" fontId="1" fillId="0" borderId="0" xfId="0" applyFont="1"/>
    <xf numFmtId="0" fontId="4" fillId="2" borderId="0" xfId="0" applyFont="1" applyFill="1"/>
    <xf numFmtId="0" fontId="0" fillId="0" borderId="0" xfId="0" applyAlignment="1">
      <alignment horizontal="left" vertical="top" wrapText="1"/>
    </xf>
    <xf numFmtId="0" fontId="4" fillId="3" borderId="0" xfId="0" applyFont="1" applyFill="1"/>
    <xf numFmtId="0" fontId="0" fillId="4" borderId="0" xfId="0" applyFill="1"/>
    <xf numFmtId="0" fontId="5" fillId="4" borderId="0" xfId="0" applyFont="1" applyFill="1"/>
    <xf numFmtId="0" fontId="7" fillId="0" borderId="0" xfId="1" applyAlignment="1">
      <alignment horizontal="left" vertical="top" wrapText="1"/>
    </xf>
    <xf numFmtId="0" fontId="0" fillId="0" borderId="0" xfId="0" applyAlignment="1">
      <alignment wrapText="1"/>
    </xf>
    <xf numFmtId="0" fontId="0" fillId="0" borderId="0" xfId="0" applyAlignment="1">
      <alignment vertical="center" wrapText="1"/>
    </xf>
    <xf numFmtId="0" fontId="4" fillId="3" borderId="0" xfId="0" applyFont="1" applyFill="1" applyAlignment="1">
      <alignment vertical="center" wrapText="1"/>
    </xf>
    <xf numFmtId="0" fontId="0" fillId="5" borderId="0" xfId="0" applyFill="1" applyAlignment="1">
      <alignment vertical="center" wrapText="1"/>
    </xf>
    <xf numFmtId="0" fontId="0" fillId="4" borderId="0" xfId="0" applyFill="1" applyAlignment="1">
      <alignment vertical="center" wrapText="1"/>
    </xf>
    <xf numFmtId="0" fontId="4" fillId="2" borderId="0" xfId="0" applyFont="1" applyFill="1" applyAlignment="1">
      <alignment vertical="center" wrapText="1"/>
    </xf>
    <xf numFmtId="0" fontId="0" fillId="2" borderId="0" xfId="0" applyFill="1" applyAlignment="1">
      <alignment vertical="center" wrapText="1"/>
    </xf>
    <xf numFmtId="0" fontId="5" fillId="4" borderId="0" xfId="0" applyFont="1" applyFill="1" applyAlignment="1">
      <alignment vertical="center" wrapText="1"/>
    </xf>
    <xf numFmtId="0" fontId="0" fillId="6" borderId="0" xfId="0" applyFill="1" applyAlignment="1">
      <alignment vertical="center" wrapText="1"/>
    </xf>
    <xf numFmtId="0" fontId="7" fillId="0" borderId="0" xfId="1" applyAlignment="1">
      <alignment vertical="center" wrapText="1"/>
    </xf>
    <xf numFmtId="0" fontId="0" fillId="6" borderId="0" xfId="0" applyFill="1"/>
    <xf numFmtId="0" fontId="4" fillId="6" borderId="0" xfId="0" applyFont="1" applyFill="1"/>
    <xf numFmtId="0" fontId="0" fillId="0" borderId="0" xfId="0" applyAlignment="1">
      <alignment horizontal="center" vertical="center" wrapText="1"/>
    </xf>
    <xf numFmtId="0" fontId="0" fillId="0"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8</xdr:row>
          <xdr:rowOff>47625</xdr:rowOff>
        </xdr:from>
        <xdr:to>
          <xdr:col>0</xdr:col>
          <xdr:colOff>1952625</xdr:colOff>
          <xdr:row>8</xdr:row>
          <xdr:rowOff>285750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to NPCTool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MakeDialogueFile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38100</xdr:rowOff>
        </xdr:from>
        <xdr:to>
          <xdr:col>1</xdr:col>
          <xdr:colOff>466725</xdr:colOff>
          <xdr:row>0</xdr:row>
          <xdr:rowOff>304800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Fill formula and make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learn.microsoft.com/en-us/minecraft/creator/documents/npcdialogue" TargetMode="External"/><Relationship Id="rId7" Type="http://schemas.openxmlformats.org/officeDocument/2006/relationships/ctrlProp" Target="../ctrlProps/ctrlProp1.xml"/><Relationship Id="rId2" Type="http://schemas.openxmlformats.org/officeDocument/2006/relationships/hyperlink" Target="https://discord.gg/7fSQBdx" TargetMode="External"/><Relationship Id="rId1" Type="http://schemas.openxmlformats.org/officeDocument/2006/relationships/hyperlink" Target="https://discord.com/channels/412297987210084353/1126162935094464522"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learn.microsoft.com/en-us/minecraft/creator/documents/preparingrawtextforlocalization"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36BD1-F30D-4BB3-B261-AEAE94066F7B}">
  <sheetPr codeName="Sheet4"/>
  <dimension ref="A1:A21"/>
  <sheetViews>
    <sheetView workbookViewId="0">
      <selection activeCell="A7" sqref="A7"/>
    </sheetView>
  </sheetViews>
  <sheetFormatPr defaultColWidth="8.85546875" defaultRowHeight="15" x14ac:dyDescent="0.25"/>
  <cols>
    <col min="1" max="1" width="152.140625" style="3" customWidth="1"/>
  </cols>
  <sheetData>
    <row r="1" spans="1:1" x14ac:dyDescent="0.25">
      <c r="A1" s="3" t="s">
        <v>179</v>
      </c>
    </row>
    <row r="2" spans="1:1" x14ac:dyDescent="0.25">
      <c r="A2" s="3" t="s">
        <v>71</v>
      </c>
    </row>
    <row r="3" spans="1:1" ht="22.5" customHeight="1" x14ac:dyDescent="0.25">
      <c r="A3" s="3" t="s">
        <v>108</v>
      </c>
    </row>
    <row r="4" spans="1:1" ht="23.25" customHeight="1" x14ac:dyDescent="0.25">
      <c r="A4" s="3" t="s">
        <v>66</v>
      </c>
    </row>
    <row r="5" spans="1:1" ht="21" customHeight="1" x14ac:dyDescent="0.25">
      <c r="A5" s="3" t="s">
        <v>68</v>
      </c>
    </row>
    <row r="6" spans="1:1" ht="21" customHeight="1" x14ac:dyDescent="0.25">
      <c r="A6" s="7" t="s">
        <v>67</v>
      </c>
    </row>
    <row r="7" spans="1:1" ht="18.75" customHeight="1" x14ac:dyDescent="0.25">
      <c r="A7" s="3" t="s">
        <v>70</v>
      </c>
    </row>
    <row r="8" spans="1:1" ht="20.25" customHeight="1" x14ac:dyDescent="0.25">
      <c r="A8" s="7" t="s">
        <v>69</v>
      </c>
    </row>
    <row r="9" spans="1:1" ht="28.5" customHeight="1" x14ac:dyDescent="0.25">
      <c r="A9" s="7"/>
    </row>
    <row r="10" spans="1:1" ht="66.75" customHeight="1" x14ac:dyDescent="0.25">
      <c r="A10" s="3" t="s">
        <v>72</v>
      </c>
    </row>
    <row r="11" spans="1:1" ht="66.75" customHeight="1" x14ac:dyDescent="0.25">
      <c r="A11" s="3" t="s">
        <v>73</v>
      </c>
    </row>
    <row r="12" spans="1:1" ht="36.75" customHeight="1" x14ac:dyDescent="0.25">
      <c r="A12" s="3" t="s">
        <v>65</v>
      </c>
    </row>
    <row r="13" spans="1:1" ht="25.5" customHeight="1" x14ac:dyDescent="0.25">
      <c r="A13" s="3" t="s">
        <v>63</v>
      </c>
    </row>
    <row r="14" spans="1:1" ht="21" customHeight="1" x14ac:dyDescent="0.25">
      <c r="A14" s="3" t="s">
        <v>64</v>
      </c>
    </row>
    <row r="15" spans="1:1" ht="38.25" customHeight="1" x14ac:dyDescent="0.25">
      <c r="A15" s="3" t="s">
        <v>115</v>
      </c>
    </row>
    <row r="16" spans="1:1" ht="45.75" customHeight="1" x14ac:dyDescent="0.25">
      <c r="A16" s="3" t="s">
        <v>114</v>
      </c>
    </row>
    <row r="17" spans="1:1" ht="18.75" customHeight="1" x14ac:dyDescent="0.25">
      <c r="A17" s="3" t="s">
        <v>60</v>
      </c>
    </row>
    <row r="18" spans="1:1" ht="34.5" customHeight="1" x14ac:dyDescent="0.25">
      <c r="A18" s="3" t="s">
        <v>61</v>
      </c>
    </row>
    <row r="19" spans="1:1" ht="75" x14ac:dyDescent="0.25">
      <c r="A19" s="3" t="s">
        <v>62</v>
      </c>
    </row>
    <row r="20" spans="1:1" ht="28.5" customHeight="1" x14ac:dyDescent="0.25">
      <c r="A20" s="3" t="s">
        <v>158</v>
      </c>
    </row>
    <row r="21" spans="1:1" x14ac:dyDescent="0.25">
      <c r="A21" s="7" t="s">
        <v>157</v>
      </c>
    </row>
  </sheetData>
  <hyperlinks>
    <hyperlink ref="A6" r:id="rId1" xr:uid="{DACA9B68-B3C9-4F41-85DA-7959A449BD6A}"/>
    <hyperlink ref="A8" r:id="rId2" xr:uid="{06D28CF2-5214-4F05-892F-9D279137C479}"/>
    <hyperlink ref="A21" r:id="rId3" xr:uid="{D3B87328-4B3B-4F05-B880-69EF445B36D4}"/>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097" r:id="rId7" name="Button 1">
              <controlPr defaultSize="0" print="0" autoFill="0" autoPict="0" macro="[0]!SaveFileToTemplateFolder">
                <anchor moveWithCells="1" sizeWithCells="1">
                  <from>
                    <xdr:col>0</xdr:col>
                    <xdr:colOff>85725</xdr:colOff>
                    <xdr:row>8</xdr:row>
                    <xdr:rowOff>47625</xdr:rowOff>
                  </from>
                  <to>
                    <xdr:col>0</xdr:col>
                    <xdr:colOff>1952625</xdr:colOff>
                    <xdr:row>8</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1F87B-13B4-4688-8A52-A5604E79700C}">
  <sheetPr codeName="Sheet6"/>
  <dimension ref="A1:AP5"/>
  <sheetViews>
    <sheetView workbookViewId="0">
      <selection activeCell="B2" sqref="B2"/>
    </sheetView>
  </sheetViews>
  <sheetFormatPr defaultColWidth="9.140625" defaultRowHeight="15" x14ac:dyDescent="0.25"/>
  <cols>
    <col min="1" max="1" width="32.7109375" style="9" customWidth="1"/>
    <col min="2" max="2" width="31.5703125" style="9" customWidth="1"/>
    <col min="3" max="3" width="27" style="9" customWidth="1"/>
    <col min="4" max="4" width="28.85546875" style="9" customWidth="1"/>
    <col min="5" max="6" width="25.7109375" style="9" customWidth="1"/>
    <col min="7" max="7" width="27.5703125" style="9" customWidth="1"/>
    <col min="8" max="8" width="27.28515625" style="9" customWidth="1"/>
    <col min="9" max="9" width="27.85546875" style="9" customWidth="1"/>
    <col min="10" max="17" width="25.7109375" style="9" customWidth="1"/>
    <col min="18" max="18" width="16.85546875" style="9" customWidth="1"/>
    <col min="19" max="19" width="18.140625" style="9" customWidth="1"/>
    <col min="20" max="20" width="20.5703125" style="9" customWidth="1"/>
    <col min="21" max="21" width="21" style="9" customWidth="1"/>
    <col min="22" max="22" width="20.42578125" style="9" customWidth="1"/>
    <col min="23" max="34" width="25.7109375" style="9" customWidth="1"/>
    <col min="35" max="35" width="22.140625" style="9" customWidth="1"/>
    <col min="36" max="36" width="15.85546875" style="9" customWidth="1"/>
    <col min="37" max="37" width="20.7109375" style="9" customWidth="1"/>
    <col min="38" max="38" width="20.42578125" style="9" customWidth="1"/>
    <col min="39" max="39" width="19" style="9" customWidth="1"/>
    <col min="40" max="40" width="20.140625" style="9" customWidth="1"/>
    <col min="41" max="42" width="19.5703125" style="9" customWidth="1"/>
    <col min="43" max="16384" width="9.140625" style="9"/>
  </cols>
  <sheetData>
    <row r="1" spans="1:42" ht="47.25" customHeight="1" x14ac:dyDescent="0.25">
      <c r="A1" s="10" t="s">
        <v>126</v>
      </c>
      <c r="B1" s="11" t="s">
        <v>172</v>
      </c>
      <c r="C1" s="9" t="s">
        <v>127</v>
      </c>
      <c r="D1" s="12" t="s">
        <v>128</v>
      </c>
      <c r="E1" s="12" t="s">
        <v>128</v>
      </c>
      <c r="G1" s="12"/>
      <c r="I1" s="12"/>
      <c r="K1" s="12"/>
      <c r="M1" s="12"/>
      <c r="O1" s="12"/>
      <c r="Q1" s="12"/>
      <c r="R1" s="10"/>
      <c r="S1" s="13" t="s">
        <v>131</v>
      </c>
      <c r="T1" s="14"/>
      <c r="U1" s="14"/>
      <c r="V1" s="14"/>
      <c r="W1" s="14"/>
      <c r="X1" s="14"/>
      <c r="Y1" s="14"/>
      <c r="Z1" s="14"/>
      <c r="AA1" s="14"/>
      <c r="AB1" s="14"/>
      <c r="AC1" s="14"/>
      <c r="AD1" s="14"/>
      <c r="AE1" s="14"/>
      <c r="AF1" s="14"/>
      <c r="AG1" s="14"/>
      <c r="AH1" s="14"/>
      <c r="AI1" s="16" t="s">
        <v>144</v>
      </c>
      <c r="AJ1" s="16" t="s">
        <v>168</v>
      </c>
      <c r="AK1" s="16" t="s">
        <v>169</v>
      </c>
      <c r="AL1" s="16" t="s">
        <v>170</v>
      </c>
      <c r="AM1" s="16"/>
      <c r="AN1" s="16"/>
      <c r="AO1" s="16"/>
      <c r="AP1" s="16"/>
    </row>
    <row r="2" spans="1:42" ht="30" x14ac:dyDescent="0.25">
      <c r="A2" s="10" t="s">
        <v>0</v>
      </c>
      <c r="B2" s="11" t="s">
        <v>1</v>
      </c>
      <c r="C2" s="9" t="s">
        <v>2</v>
      </c>
      <c r="D2" s="12" t="s">
        <v>16</v>
      </c>
      <c r="E2" s="12" t="s">
        <v>15</v>
      </c>
      <c r="F2" s="9" t="s">
        <v>3</v>
      </c>
      <c r="G2" s="12" t="s">
        <v>9</v>
      </c>
      <c r="H2" s="9" t="s">
        <v>4</v>
      </c>
      <c r="I2" s="12" t="s">
        <v>10</v>
      </c>
      <c r="J2" s="9" t="s">
        <v>5</v>
      </c>
      <c r="K2" s="12" t="s">
        <v>11</v>
      </c>
      <c r="L2" s="9" t="s">
        <v>6</v>
      </c>
      <c r="M2" s="12" t="s">
        <v>12</v>
      </c>
      <c r="N2" s="9" t="s">
        <v>7</v>
      </c>
      <c r="O2" s="12" t="s">
        <v>13</v>
      </c>
      <c r="P2" s="9" t="s">
        <v>8</v>
      </c>
      <c r="Q2" s="15" t="s">
        <v>14</v>
      </c>
      <c r="R2" s="10" t="s">
        <v>18</v>
      </c>
      <c r="S2" s="13" t="s">
        <v>17</v>
      </c>
      <c r="T2" s="13" t="s">
        <v>19</v>
      </c>
      <c r="U2" s="13" t="s">
        <v>20</v>
      </c>
      <c r="V2" s="13" t="s">
        <v>21</v>
      </c>
      <c r="W2" s="13" t="s">
        <v>22</v>
      </c>
      <c r="X2" s="13" t="s">
        <v>23</v>
      </c>
      <c r="Y2" s="13" t="s">
        <v>24</v>
      </c>
      <c r="Z2" s="13" t="s">
        <v>31</v>
      </c>
      <c r="AA2" s="13" t="s">
        <v>54</v>
      </c>
      <c r="AB2" s="13" t="s">
        <v>55</v>
      </c>
      <c r="AC2" s="13" t="s">
        <v>56</v>
      </c>
      <c r="AD2" s="13" t="s">
        <v>57</v>
      </c>
      <c r="AE2" s="13" t="s">
        <v>58</v>
      </c>
      <c r="AF2" s="13" t="s">
        <v>59</v>
      </c>
      <c r="AG2" s="13" t="s">
        <v>155</v>
      </c>
      <c r="AH2" s="13" t="s">
        <v>154</v>
      </c>
      <c r="AI2" s="16" t="s">
        <v>156</v>
      </c>
      <c r="AJ2" s="16" t="s">
        <v>145</v>
      </c>
      <c r="AK2" s="16" t="s">
        <v>146</v>
      </c>
      <c r="AL2" s="16" t="s">
        <v>147</v>
      </c>
      <c r="AM2" s="16" t="s">
        <v>148</v>
      </c>
      <c r="AN2" s="16" t="s">
        <v>149</v>
      </c>
      <c r="AO2" s="16" t="s">
        <v>150</v>
      </c>
      <c r="AP2" s="16" t="s">
        <v>151</v>
      </c>
    </row>
    <row r="3" spans="1:42" ht="90" x14ac:dyDescent="0.25">
      <c r="A3" s="9" t="s">
        <v>116</v>
      </c>
      <c r="B3" s="9" t="s">
        <v>171</v>
      </c>
      <c r="C3" s="9" t="s">
        <v>117</v>
      </c>
      <c r="D3" s="9" t="s">
        <v>118</v>
      </c>
      <c r="E3" s="9" t="s">
        <v>119</v>
      </c>
      <c r="F3" s="9" t="s">
        <v>138</v>
      </c>
      <c r="G3" s="9" t="s">
        <v>120</v>
      </c>
      <c r="H3" s="9" t="s">
        <v>139</v>
      </c>
      <c r="I3" s="9" t="s">
        <v>121</v>
      </c>
      <c r="J3" s="9" t="s">
        <v>140</v>
      </c>
      <c r="K3" s="9" t="s">
        <v>122</v>
      </c>
      <c r="L3" s="9" t="s">
        <v>141</v>
      </c>
      <c r="M3" s="9" t="s">
        <v>123</v>
      </c>
      <c r="N3" s="9" t="s">
        <v>142</v>
      </c>
      <c r="O3" s="9" t="s">
        <v>124</v>
      </c>
      <c r="P3" s="9" t="s">
        <v>143</v>
      </c>
      <c r="Q3" s="9" t="s">
        <v>125</v>
      </c>
      <c r="Z3" s="9" t="s">
        <v>137</v>
      </c>
      <c r="AJ3" s="9" t="s">
        <v>153</v>
      </c>
      <c r="AK3" s="17" t="s">
        <v>152</v>
      </c>
    </row>
    <row r="4" spans="1:42" ht="90" x14ac:dyDescent="0.25">
      <c r="A4" s="9" t="s">
        <v>159</v>
      </c>
      <c r="B4" s="9" t="s">
        <v>134</v>
      </c>
      <c r="C4" s="9" t="s">
        <v>136</v>
      </c>
      <c r="D4" s="9" t="s">
        <v>133</v>
      </c>
      <c r="E4" s="9" t="s">
        <v>132</v>
      </c>
      <c r="F4" s="20" t="s">
        <v>135</v>
      </c>
      <c r="G4" s="20"/>
      <c r="H4" s="9" t="s">
        <v>129</v>
      </c>
      <c r="I4" s="9" t="s">
        <v>130</v>
      </c>
    </row>
    <row r="5" spans="1:42" ht="52.5" customHeight="1" x14ac:dyDescent="0.25">
      <c r="B5" s="9" t="s">
        <v>160</v>
      </c>
      <c r="C5" s="9" t="s">
        <v>161</v>
      </c>
      <c r="F5" s="9" t="s">
        <v>162</v>
      </c>
      <c r="H5" s="9" t="s">
        <v>163</v>
      </c>
      <c r="J5" s="9" t="s">
        <v>164</v>
      </c>
      <c r="L5" s="9" t="s">
        <v>165</v>
      </c>
      <c r="N5" s="9" t="s">
        <v>166</v>
      </c>
      <c r="P5" s="9" t="s">
        <v>167</v>
      </c>
    </row>
  </sheetData>
  <mergeCells count="1">
    <mergeCell ref="F4:G4"/>
  </mergeCells>
  <phoneticPr fontId="2" type="noConversion"/>
  <hyperlinks>
    <hyperlink ref="AK3" r:id="rId1" xr:uid="{2397BAE8-AEB2-41EC-8D2C-6EDC3E693A5A}"/>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2A211-6055-420F-BDF7-F37F81F96FE4}">
  <sheetPr codeName="Sheet1"/>
  <dimension ref="A1:AP5"/>
  <sheetViews>
    <sheetView showFormulas="1" workbookViewId="0">
      <pane ySplit="1" topLeftCell="A2" activePane="bottomLeft" state="frozen"/>
      <selection activeCell="AJ5" sqref="AJ5"/>
      <selection pane="bottomLeft" activeCell="AJ5" sqref="AJ5"/>
    </sheetView>
  </sheetViews>
  <sheetFormatPr defaultColWidth="8.85546875"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5" max="35" width="10.140625" customWidth="1"/>
    <col min="36" max="36" width="9.140625" customWidth="1"/>
    <col min="37" max="38" width="9.85546875" customWidth="1"/>
    <col min="39" max="39" width="10.140625" customWidth="1"/>
    <col min="40" max="40" width="10.28515625" customWidth="1"/>
    <col min="41" max="41" width="10.140625" customWidth="1"/>
    <col min="42" max="42" width="10.28515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c r="AG1" s="2" t="s">
        <v>155</v>
      </c>
      <c r="AH1" s="2" t="s">
        <v>154</v>
      </c>
      <c r="AI1" s="19" t="s">
        <v>156</v>
      </c>
      <c r="AJ1" s="18" t="s">
        <v>145</v>
      </c>
      <c r="AK1" s="18" t="s">
        <v>146</v>
      </c>
      <c r="AL1" s="18" t="s">
        <v>147</v>
      </c>
      <c r="AM1" s="18" t="s">
        <v>148</v>
      </c>
      <c r="AN1" s="18" t="s">
        <v>149</v>
      </c>
      <c r="AO1" s="18" t="s">
        <v>150</v>
      </c>
      <c r="AP1" s="18" t="s">
        <v>151</v>
      </c>
    </row>
    <row r="2" spans="1:42" x14ac:dyDescent="0.25">
      <c r="A2" t="s">
        <v>32</v>
      </c>
      <c r="B2" t="s">
        <v>33</v>
      </c>
      <c r="C2" t="s">
        <v>26</v>
      </c>
      <c r="D2" t="s">
        <v>30</v>
      </c>
      <c r="E2" t="s">
        <v>34</v>
      </c>
      <c r="F2" t="s">
        <v>27</v>
      </c>
      <c r="G2" t="s">
        <v>28</v>
      </c>
      <c r="H2" t="s">
        <v>35</v>
      </c>
      <c r="I2" t="s">
        <v>29</v>
      </c>
      <c r="R2" t="s">
        <v>25</v>
      </c>
    </row>
    <row r="3" spans="1:42" x14ac:dyDescent="0.25">
      <c r="A3" t="s">
        <v>36</v>
      </c>
      <c r="B3" t="s">
        <v>37</v>
      </c>
      <c r="C3" t="s">
        <v>38</v>
      </c>
      <c r="F3" t="s">
        <v>39</v>
      </c>
      <c r="G3" t="s">
        <v>40</v>
      </c>
      <c r="H3" t="s">
        <v>41</v>
      </c>
      <c r="I3" t="s">
        <v>42</v>
      </c>
    </row>
    <row r="4" spans="1:42" x14ac:dyDescent="0.25">
      <c r="A4" t="s">
        <v>43</v>
      </c>
      <c r="B4" t="s">
        <v>44</v>
      </c>
      <c r="C4" t="s">
        <v>45</v>
      </c>
      <c r="D4" t="s">
        <v>46</v>
      </c>
      <c r="E4" t="s">
        <v>47</v>
      </c>
      <c r="F4">
        <v>1</v>
      </c>
      <c r="G4" t="s">
        <v>48</v>
      </c>
      <c r="H4">
        <v>2</v>
      </c>
      <c r="I4" t="s">
        <v>49</v>
      </c>
      <c r="J4">
        <v>3</v>
      </c>
      <c r="K4" t="s">
        <v>53</v>
      </c>
      <c r="L4">
        <v>4</v>
      </c>
      <c r="M4" t="s">
        <v>50</v>
      </c>
      <c r="N4">
        <v>5</v>
      </c>
      <c r="O4" t="s">
        <v>51</v>
      </c>
      <c r="P4">
        <v>6</v>
      </c>
      <c r="Q4" t="s">
        <v>52</v>
      </c>
    </row>
    <row r="5" spans="1:42" ht="18" x14ac:dyDescent="0.35">
      <c r="D5" s="1"/>
      <c r="O5" s="1"/>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1027" r:id="rId5" name="Button 3">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619D2-FDCD-4EA1-AF48-99C12C183E0A}">
  <sheetPr codeName="Sheet2"/>
  <dimension ref="A1:AP1"/>
  <sheetViews>
    <sheetView showFormulas="1" workbookViewId="0">
      <pane ySplit="1" topLeftCell="A2" activePane="bottomLeft" state="frozen"/>
      <selection activeCell="AJ5" sqref="AJ5"/>
      <selection pane="bottomLeft" activeCell="A2" sqref="A2"/>
    </sheetView>
  </sheetViews>
  <sheetFormatPr defaultColWidth="8.85546875"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4" max="34" width="12.42578125" bestFit="1" customWidth="1"/>
    <col min="35" max="35" width="10.140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tr">
        <f t="shared" ref="AA1:AF1" si="0">IF(LEN(F1)&lt;&gt;0,_xlfn.CONCAT("dialogue.button.",SUBSTITUTE( LOWER( TRIM( SUBSTITUTE( SUBSTITUTE( SUBSTITUTE( SUBSTITUTE( SUBSTITUTE( SUBSTITUTE( SUBSTITUTE( SUBSTITUTE( SUBSTITUTE( F1, "("," "), ")"," "), "-"," "), ":"," "), ";"," "), "!"," "), ","," "), "?"," "), "."," ")))," ","_")),"")</f>
        <v>dialogue.button.button_name_1</v>
      </c>
      <c r="AB1" s="2" t="str">
        <f t="shared" si="0"/>
        <v>dialogue.button.button_commands_1</v>
      </c>
      <c r="AC1" s="2" t="str">
        <f t="shared" si="0"/>
        <v>dialogue.button.button_name_2</v>
      </c>
      <c r="AD1" s="2" t="str">
        <f t="shared" si="0"/>
        <v>dialogue.button.button_commands_2</v>
      </c>
      <c r="AE1" s="2" t="str">
        <f t="shared" si="0"/>
        <v>dialogue.button.button_name_3</v>
      </c>
      <c r="AF1" s="2" t="str">
        <f t="shared" si="0"/>
        <v>dialogue.button.button_commands_3</v>
      </c>
      <c r="AG1" s="2" t="s">
        <v>155</v>
      </c>
      <c r="AH1" s="2" t="s">
        <v>154</v>
      </c>
      <c r="AI1" s="19" t="s">
        <v>156</v>
      </c>
      <c r="AJ1" s="18" t="s">
        <v>145</v>
      </c>
      <c r="AK1" s="18" t="s">
        <v>146</v>
      </c>
      <c r="AL1" s="18" t="s">
        <v>147</v>
      </c>
      <c r="AM1" s="18" t="s">
        <v>148</v>
      </c>
      <c r="AN1" s="18" t="s">
        <v>149</v>
      </c>
      <c r="AO1" s="18" t="s">
        <v>150</v>
      </c>
      <c r="AP1" s="18" t="s">
        <v>151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0"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1"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2"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3" r:id="rId8" name="Button 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4" r:id="rId9" name="Button 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5" r:id="rId10" name="Button 7">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6" r:id="rId11" name="Button 8">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7" r:id="rId12" name="Button 9">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8" r:id="rId13" name="Button 10">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59" r:id="rId14" name="Button 1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0" r:id="rId15" name="Button 1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1" r:id="rId16" name="Button 1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2" r:id="rId17" name="Button 1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3" r:id="rId18" name="Button 15">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2064" r:id="rId19" name="Button 16">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17095-FF08-4575-B276-07E6C389F680}">
  <sheetPr codeName="Sheet3"/>
  <dimension ref="A1:AP5"/>
  <sheetViews>
    <sheetView showFormulas="1" workbookViewId="0">
      <pane ySplit="1" topLeftCell="A2" activePane="bottomLeft" state="frozen"/>
      <selection activeCell="AJ5" sqref="AJ5"/>
      <selection pane="bottomLeft"/>
    </sheetView>
  </sheetViews>
  <sheetFormatPr defaultColWidth="8.85546875" defaultRowHeight="15" x14ac:dyDescent="0.25"/>
  <cols>
    <col min="1" max="1" width="10.85546875" customWidth="1"/>
    <col min="2" max="2" width="11.5703125" customWidth="1"/>
    <col min="3" max="3" width="10.140625" bestFit="1" customWidth="1"/>
    <col min="4" max="4" width="25" customWidth="1"/>
    <col min="5" max="5" width="32.28515625" customWidth="1"/>
    <col min="6" max="6" width="27.85546875" customWidth="1"/>
    <col min="7" max="7" width="19.7109375" customWidth="1"/>
    <col min="8" max="8" width="20.140625" bestFit="1" customWidth="1"/>
    <col min="9" max="9" width="15.140625" bestFit="1" customWidth="1"/>
    <col min="10" max="10" width="25.28515625" customWidth="1"/>
    <col min="11" max="11" width="22.28515625" customWidth="1"/>
    <col min="12" max="12" width="15.140625" bestFit="1" customWidth="1"/>
    <col min="13" max="13" width="20.42578125" bestFit="1" customWidth="1"/>
    <col min="14" max="14" width="19.85546875" bestFit="1" customWidth="1"/>
    <col min="15" max="15" width="15.140625" customWidth="1"/>
    <col min="16" max="16" width="20" bestFit="1"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5" max="35" width="10.140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c r="AG1" s="2" t="s">
        <v>155</v>
      </c>
      <c r="AH1" s="2" t="s">
        <v>154</v>
      </c>
      <c r="AI1" s="19" t="s">
        <v>156</v>
      </c>
      <c r="AJ1" s="18" t="s">
        <v>145</v>
      </c>
      <c r="AK1" s="18" t="s">
        <v>146</v>
      </c>
      <c r="AL1" s="18" t="s">
        <v>147</v>
      </c>
      <c r="AM1" s="18" t="s">
        <v>148</v>
      </c>
      <c r="AN1" s="18" t="s">
        <v>149</v>
      </c>
      <c r="AO1" s="18" t="s">
        <v>150</v>
      </c>
      <c r="AP1" s="18" t="s">
        <v>151</v>
      </c>
    </row>
    <row r="5" spans="1:42" ht="18" x14ac:dyDescent="0.35">
      <c r="D5" s="1"/>
      <c r="O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5" r:id="rId6" name="Button 3">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3076" r:id="rId7" name="Button 4">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F5FC-88CD-439B-9B8C-99BC363F7CCC}">
  <sheetPr codeName="Sheet5"/>
  <dimension ref="A1:AP15"/>
  <sheetViews>
    <sheetView showFormulas="1" tabSelected="1" workbookViewId="0">
      <pane ySplit="1" topLeftCell="A12" activePane="bottomLeft" state="frozen"/>
      <selection activeCell="AJ5" sqref="AJ5"/>
      <selection pane="bottomLeft" activeCell="Z15" sqref="Z15"/>
    </sheetView>
  </sheetViews>
  <sheetFormatPr defaultColWidth="8.85546875" defaultRowHeight="15" x14ac:dyDescent="0.25"/>
  <cols>
    <col min="1" max="1" width="10.85546875" customWidth="1"/>
    <col min="2" max="2" width="11.5703125" customWidth="1"/>
    <col min="3" max="3" width="10.140625" bestFit="1" customWidth="1"/>
    <col min="4" max="4" width="15.5703125" customWidth="1"/>
    <col min="5" max="5" width="22.42578125" customWidth="1"/>
    <col min="6" max="6" width="9.5703125" customWidth="1"/>
    <col min="7" max="7" width="19.7109375" customWidth="1"/>
    <col min="8" max="8" width="8.85546875" customWidth="1"/>
    <col min="9" max="9" width="15.140625" bestFit="1" customWidth="1"/>
    <col min="10" max="10" width="9.140625" customWidth="1"/>
    <col min="11" max="11" width="22.28515625" customWidth="1"/>
    <col min="12" max="12" width="8.5703125" customWidth="1"/>
    <col min="13" max="13" width="20.42578125" bestFit="1" customWidth="1"/>
    <col min="14" max="14" width="8.42578125" customWidth="1"/>
    <col min="15" max="15" width="15.140625" customWidth="1"/>
    <col min="16" max="16" width="8.7109375" customWidth="1"/>
    <col min="17" max="17" width="19.85546875" bestFit="1" customWidth="1"/>
    <col min="18" max="18" width="4.85546875" customWidth="1"/>
    <col min="19" max="19" width="20" bestFit="1" customWidth="1"/>
    <col min="20" max="20" width="19.85546875" bestFit="1" customWidth="1"/>
    <col min="21" max="21" width="15.140625" bestFit="1" customWidth="1"/>
    <col min="22" max="22" width="20" bestFit="1" customWidth="1"/>
    <col min="23" max="23" width="15.42578125" customWidth="1"/>
    <col min="24" max="24" width="15.140625" bestFit="1" customWidth="1"/>
    <col min="25" max="25" width="20" bestFit="1" customWidth="1"/>
    <col min="26" max="26" width="38.85546875" customWidth="1"/>
    <col min="27" max="27" width="20.7109375" customWidth="1"/>
    <col min="35" max="35" width="10.140625" customWidth="1"/>
  </cols>
  <sheetData>
    <row r="1" spans="1:42" ht="44.25" customHeight="1" x14ac:dyDescent="0.25">
      <c r="A1" s="4" t="s">
        <v>0</v>
      </c>
      <c r="B1" s="4" t="s">
        <v>1</v>
      </c>
      <c r="C1" t="s">
        <v>2</v>
      </c>
      <c r="D1" s="5" t="s">
        <v>16</v>
      </c>
      <c r="E1" s="5" t="s">
        <v>15</v>
      </c>
      <c r="F1" t="s">
        <v>3</v>
      </c>
      <c r="G1" s="5" t="s">
        <v>9</v>
      </c>
      <c r="H1" t="s">
        <v>4</v>
      </c>
      <c r="I1" s="5" t="s">
        <v>10</v>
      </c>
      <c r="J1" t="s">
        <v>5</v>
      </c>
      <c r="K1" s="5" t="s">
        <v>11</v>
      </c>
      <c r="L1" t="s">
        <v>6</v>
      </c>
      <c r="M1" s="5" t="s">
        <v>12</v>
      </c>
      <c r="N1" t="s">
        <v>7</v>
      </c>
      <c r="O1" s="5" t="s">
        <v>13</v>
      </c>
      <c r="P1" t="s">
        <v>8</v>
      </c>
      <c r="Q1" s="6" t="s">
        <v>14</v>
      </c>
      <c r="R1" t="s">
        <v>18</v>
      </c>
      <c r="S1" s="2" t="s">
        <v>17</v>
      </c>
      <c r="T1" s="2" t="s">
        <v>19</v>
      </c>
      <c r="U1" s="2" t="s">
        <v>20</v>
      </c>
      <c r="V1" s="2" t="s">
        <v>21</v>
      </c>
      <c r="W1" s="2" t="s">
        <v>22</v>
      </c>
      <c r="X1" s="2" t="s">
        <v>23</v>
      </c>
      <c r="Y1" s="2" t="s">
        <v>24</v>
      </c>
      <c r="Z1" s="2" t="s">
        <v>31</v>
      </c>
      <c r="AA1" s="2" t="s">
        <v>54</v>
      </c>
      <c r="AB1" s="2" t="s">
        <v>55</v>
      </c>
      <c r="AC1" s="2" t="s">
        <v>56</v>
      </c>
      <c r="AD1" s="2" t="s">
        <v>57</v>
      </c>
      <c r="AE1" s="2" t="s">
        <v>58</v>
      </c>
      <c r="AF1" s="2" t="s">
        <v>59</v>
      </c>
      <c r="AG1" s="2" t="s">
        <v>155</v>
      </c>
      <c r="AH1" s="2" t="s">
        <v>154</v>
      </c>
      <c r="AI1" s="18" t="s">
        <v>156</v>
      </c>
      <c r="AJ1" s="18" t="s">
        <v>145</v>
      </c>
      <c r="AK1" s="18" t="s">
        <v>146</v>
      </c>
      <c r="AL1" s="18" t="s">
        <v>147</v>
      </c>
      <c r="AM1" s="18" t="s">
        <v>148</v>
      </c>
      <c r="AN1" s="18" t="s">
        <v>149</v>
      </c>
      <c r="AO1" s="18" t="s">
        <v>150</v>
      </c>
      <c r="AP1" s="18" t="s">
        <v>151</v>
      </c>
    </row>
    <row r="2" spans="1:42" x14ac:dyDescent="0.25">
      <c r="A2" s="21" t="s">
        <v>32</v>
      </c>
      <c r="B2" t="s">
        <v>33</v>
      </c>
      <c r="C2" t="s">
        <v>26</v>
      </c>
      <c r="D2" t="s">
        <v>30</v>
      </c>
      <c r="E2" t="s">
        <v>34</v>
      </c>
      <c r="F2" t="s">
        <v>27</v>
      </c>
      <c r="G2" t="s">
        <v>28</v>
      </c>
      <c r="H2" t="s">
        <v>35</v>
      </c>
      <c r="I2" t="s">
        <v>29</v>
      </c>
      <c r="R2" t="s">
        <v>25</v>
      </c>
      <c r="S2" t="s">
        <v>98</v>
      </c>
      <c r="T2" t="s">
        <v>80</v>
      </c>
      <c r="U2" t="s">
        <v>84</v>
      </c>
      <c r="Z2" t="s">
        <v>92</v>
      </c>
      <c r="AA2" t="str">
        <f>IF(LEN(F2)&lt;&gt;0,_xlfn.CONCAT("dialogue.button.",SUBSTITUTE( LOWER( TRIM( SUBSTITUTE( SUBSTITUTE( SUBSTITUTE( SUBSTITUTE( SUBSTITUTE( SUBSTITUTE( SUBSTITUTE( SUBSTITUTE( SUBSTITUTE( F2, "("," "), ")"," "), "-"," "), ":"," "), ";"," "), "!"," "), ","," "), "?"," "), "."," ")))," ","_")),"")</f>
        <v>dialogue.button.need_food</v>
      </c>
      <c r="AB2" t="str">
        <f>IF(LEN(H2)&lt;&gt;0,_xlfn.CONCAT("dialogue.button.",SUBSTITUTE( LOWER( TRIM( SUBSTITUTE( SUBSTITUTE( SUBSTITUTE( SUBSTITUTE( SUBSTITUTE( SUBSTITUTE( SUBSTITUTE( SUBSTITUTE( SUBSTITUTE( H2, "("," "), ")"," "), "-"," "), ":"," "), ";"," "), "!"," "), ","," "), "?"," "), "."," ")))," ","_")),"")</f>
        <v>dialogue.button.url_rules</v>
      </c>
      <c r="AC2" t="str">
        <f>IF(LEN(J2)&lt;&gt;0,_xlfn.CONCAT("dialogue.button.",SUBSTITUTE( LOWER( TRIM( SUBSTITUTE( SUBSTITUTE( SUBSTITUTE( SUBSTITUTE( SUBSTITUTE( SUBSTITUTE( SUBSTITUTE( SUBSTITUTE( SUBSTITUTE( J2, "("," "), ")"," "), "-"," "), ":"," "), ";"," "), "!"," "), ","," "), "?"," "), "."," ")))," ","_")),"")</f>
        <v/>
      </c>
      <c r="AD2" t="str">
        <f>IF(LEN(L2)&lt;&gt;0,_xlfn.CONCAT("dialogue.button.",SUBSTITUTE( LOWER( TRIM( SUBSTITUTE( SUBSTITUTE( SUBSTITUTE( SUBSTITUTE( SUBSTITUTE( SUBSTITUTE( SUBSTITUTE( SUBSTITUTE( SUBSTITUTE( L2, "("," "), ")"," "), "-"," "), ":"," "), ";"," "), "!"," "), ","," "), "?"," "), "."," ")))," ","_")),"")</f>
        <v/>
      </c>
      <c r="AE2" t="str">
        <f>IF(LEN(N2)&lt;&gt;0,_xlfn.CONCAT("dialogue.button.",SUBSTITUTE( LOWER( TRIM( SUBSTITUTE( SUBSTITUTE( SUBSTITUTE( SUBSTITUTE( SUBSTITUTE( SUBSTITUTE( SUBSTITUTE( SUBSTITUTE( SUBSTITUTE( N2, "("," "), ")"," "), "-"," "), ":"," "), ";"," "), "!"," "), ","," "), "?"," "), "."," ")))," ","_")),"")</f>
        <v/>
      </c>
      <c r="AF2" t="str">
        <f>IF(LEN(P2)&lt;&gt;0,_xlfn.CONCAT("dialogue.button.",SUBSTITUTE( LOWER( TRIM( SUBSTITUTE( SUBSTITUTE( SUBSTITUTE( SUBSTITUTE( SUBSTITUTE( SUBSTITUTE( SUBSTITUTE( SUBSTITUTE( SUBSTITUTE( P2, "("," "), ")"," "), "-"," "), ":"," "), ";"," "), "!"," "), ","," "), "?"," "), "."," ")))," ","_")),"")</f>
        <v/>
      </c>
      <c r="AG2" t="str">
        <f>IF(LEN(B2)&lt;&gt;0,_xlfn.CONCAT("dialogue.npc_name.",SUBSTITUTE( LOWER( TRIM( SUBSTITUTE( SUBSTITUTE( SUBSTITUTE( SUBSTITUTE( SUBSTITUTE( SUBSTITUTE( SUBSTITUTE( SUBSTITUTE( SUBSTITUTE( B2, "("," "), ")"," "), "-"," "), ":"," "), ";"," "), "!"," "), ","," "), "?"," "), "."," ")))," ","_")),"")</f>
        <v>dialogue.npc_name.john_doe</v>
      </c>
      <c r="AH2" t="s">
        <v>173</v>
      </c>
    </row>
    <row r="3" spans="1:42" x14ac:dyDescent="0.25">
      <c r="A3" s="21" t="s">
        <v>109</v>
      </c>
      <c r="B3" t="s">
        <v>110</v>
      </c>
      <c r="C3" t="s">
        <v>111</v>
      </c>
      <c r="F3" t="s">
        <v>35</v>
      </c>
      <c r="G3" t="s">
        <v>29</v>
      </c>
      <c r="S3" t="s">
        <v>112</v>
      </c>
      <c r="T3" t="s">
        <v>84</v>
      </c>
      <c r="V3" t="s">
        <v>181</v>
      </c>
      <c r="W3" t="s">
        <v>181</v>
      </c>
      <c r="X3" t="s">
        <v>181</v>
      </c>
      <c r="Y3" t="s">
        <v>181</v>
      </c>
      <c r="Z3" t="s">
        <v>113</v>
      </c>
      <c r="AA3" t="str">
        <f>IF(LEN(F3)&lt;&gt;0,_xlfn.CONCAT("dialogue.button.",SUBSTITUTE( LOWER( TRIM( SUBSTITUTE( SUBSTITUTE( SUBSTITUTE( SUBSTITUTE( SUBSTITUTE( SUBSTITUTE( SUBSTITUTE( SUBSTITUTE( SUBSTITUTE( F3, "("," "), ")"," "), "-"," "), ":"," "), ";"," "), "!"," "), ","," "), "?"," "), "."," ")))," ","_")),"")</f>
        <v>dialogue.button.url_rules</v>
      </c>
      <c r="AB3" t="str">
        <f>IF(LEN(H3)&lt;&gt;0,_xlfn.CONCAT("dialogue.button.",SUBSTITUTE( LOWER( TRIM( SUBSTITUTE( SUBSTITUTE( SUBSTITUTE( SUBSTITUTE( SUBSTITUTE( SUBSTITUTE( SUBSTITUTE( SUBSTITUTE( SUBSTITUTE( H3, "("," "), ")"," "), "-"," "), ":"," "), ";"," "), "!"," "), ","," "), "?"," "), "."," ")))," ","_")),"")</f>
        <v/>
      </c>
      <c r="AC3" t="str">
        <f>IF(LEN(J3)&lt;&gt;0,_xlfn.CONCAT("dialogue.button.",SUBSTITUTE( LOWER( TRIM( SUBSTITUTE( SUBSTITUTE( SUBSTITUTE( SUBSTITUTE( SUBSTITUTE( SUBSTITUTE( SUBSTITUTE( SUBSTITUTE( SUBSTITUTE( J3, "("," "), ")"," "), "-"," "), ":"," "), ";"," "), "!"," "), ","," "), "?"," "), "."," ")))," ","_")),"")</f>
        <v/>
      </c>
      <c r="AD3" t="str">
        <f>IF(LEN(L3)&lt;&gt;0,_xlfn.CONCAT("dialogue.button.",SUBSTITUTE( LOWER( TRIM( SUBSTITUTE( SUBSTITUTE( SUBSTITUTE( SUBSTITUTE( SUBSTITUTE( SUBSTITUTE( SUBSTITUTE( SUBSTITUTE( SUBSTITUTE( L3, "("," "), ")"," "), "-"," "), ":"," "), ";"," "), "!"," "), ","," "), "?"," "), "."," ")))," ","_")),"")</f>
        <v/>
      </c>
      <c r="AE3" t="str">
        <f>IF(LEN(N3)&lt;&gt;0,_xlfn.CONCAT("dialogue.button.",SUBSTITUTE( LOWER( TRIM( SUBSTITUTE( SUBSTITUTE( SUBSTITUTE( SUBSTITUTE( SUBSTITUTE( SUBSTITUTE( SUBSTITUTE( SUBSTITUTE( SUBSTITUTE( N3, "("," "), ")"," "), "-"," "), ":"," "), ";"," "), "!"," "), ","," "), "?"," "), "."," ")))," ","_")),"")</f>
        <v/>
      </c>
      <c r="AF3" t="str">
        <f>IF(LEN(P3)&lt;&gt;0,_xlfn.CONCAT("dialogue.button.",SUBSTITUTE( LOWER( TRIM( SUBSTITUTE( SUBSTITUTE( SUBSTITUTE( SUBSTITUTE( SUBSTITUTE( SUBSTITUTE( SUBSTITUTE( SUBSTITUTE( SUBSTITUTE( P3, "("," "), ")"," "), "-"," "), ":"," "), ";"," "), "!"," "), ","," "), "?"," "), "."," ")))," ","_")),"")</f>
        <v/>
      </c>
      <c r="AG3" t="str">
        <f>IF(LEN(B3)&lt;&gt;0,_xlfn.CONCAT("dialogue.npc_name.",SUBSTITUTE( LOWER( TRIM( SUBSTITUTE( SUBSTITUTE( SUBSTITUTE( SUBSTITUTE( SUBSTITUTE( SUBSTITUTE( SUBSTITUTE( SUBSTITUTE( SUBSTITUTE( B3, "("," "), ")"," "), "-"," "), ":"," "), ";"," "), "!"," "), ","," "), "?"," "), "."," ")))," ","_")),"")</f>
        <v>dialogue.npc_name.url</v>
      </c>
      <c r="AH3" t="s">
        <v>174</v>
      </c>
    </row>
    <row r="4" spans="1:42" x14ac:dyDescent="0.25">
      <c r="A4" s="21" t="s">
        <v>103</v>
      </c>
      <c r="B4" t="s">
        <v>79</v>
      </c>
      <c r="C4" t="s">
        <v>104</v>
      </c>
      <c r="S4" t="s">
        <v>106</v>
      </c>
      <c r="U4" t="s">
        <v>181</v>
      </c>
      <c r="V4" t="s">
        <v>182</v>
      </c>
      <c r="W4" t="s">
        <v>182</v>
      </c>
      <c r="X4" t="s">
        <v>182</v>
      </c>
      <c r="Y4" t="s">
        <v>182</v>
      </c>
      <c r="Z4" t="s">
        <v>96</v>
      </c>
      <c r="AA4" t="str">
        <f>IF(LEN(F4)&lt;&gt;0,_xlfn.CONCAT("dialogue.button.",SUBSTITUTE( LOWER( TRIM( SUBSTITUTE( SUBSTITUTE( SUBSTITUTE( SUBSTITUTE( SUBSTITUTE( SUBSTITUTE( SUBSTITUTE( SUBSTITUTE( SUBSTITUTE( F4, "("," "), ")"," "), "-"," "), ":"," "), ";"," "), "!"," "), ","," "), "?"," "), "."," ")))," ","_")),"")</f>
        <v/>
      </c>
      <c r="AB4" t="str">
        <f>IF(LEN(H4)&lt;&gt;0,_xlfn.CONCAT("dialogue.button.",SUBSTITUTE( LOWER( TRIM( SUBSTITUTE( SUBSTITUTE( SUBSTITUTE( SUBSTITUTE( SUBSTITUTE( SUBSTITUTE( SUBSTITUTE( SUBSTITUTE( SUBSTITUTE( H4, "("," "), ")"," "), "-"," "), ":"," "), ";"," "), "!"," "), ","," "), "?"," "), "."," ")))," ","_")),"")</f>
        <v/>
      </c>
      <c r="AC4" t="str">
        <f>IF(LEN(J4)&lt;&gt;0,_xlfn.CONCAT("dialogue.button.",SUBSTITUTE( LOWER( TRIM( SUBSTITUTE( SUBSTITUTE( SUBSTITUTE( SUBSTITUTE( SUBSTITUTE( SUBSTITUTE( SUBSTITUTE( SUBSTITUTE( SUBSTITUTE( J4, "("," "), ")"," "), "-"," "), ":"," "), ";"," "), "!"," "), ","," "), "?"," "), "."," ")))," ","_")),"")</f>
        <v/>
      </c>
      <c r="AD4" t="str">
        <f>IF(LEN(L4)&lt;&gt;0,_xlfn.CONCAT("dialogue.button.",SUBSTITUTE( LOWER( TRIM( SUBSTITUTE( SUBSTITUTE( SUBSTITUTE( SUBSTITUTE( SUBSTITUTE( SUBSTITUTE( SUBSTITUTE( SUBSTITUTE( SUBSTITUTE( L4, "("," "), ")"," "), "-"," "), ":"," "), ";"," "), "!"," "), ","," "), "?"," "), "."," ")))," ","_")),"")</f>
        <v/>
      </c>
      <c r="AE4" t="str">
        <f>IF(LEN(N4)&lt;&gt;0,_xlfn.CONCAT("dialogue.button.",SUBSTITUTE( LOWER( TRIM( SUBSTITUTE( SUBSTITUTE( SUBSTITUTE( SUBSTITUTE( SUBSTITUTE( SUBSTITUTE( SUBSTITUTE( SUBSTITUTE( SUBSTITUTE( N4, "("," "), ")"," "), "-"," "), ":"," "), ";"," "), "!"," "), ","," "), "?"," "), "."," ")))," ","_")),"")</f>
        <v/>
      </c>
      <c r="AF4" t="str">
        <f>IF(LEN(P4)&lt;&gt;0,_xlfn.CONCAT("dialogue.button.",SUBSTITUTE( LOWER( TRIM( SUBSTITUTE( SUBSTITUTE( SUBSTITUTE( SUBSTITUTE( SUBSTITUTE( SUBSTITUTE( SUBSTITUTE( SUBSTITUTE( SUBSTITUTE( P4, "("," "), ")"," "), "-"," "), ":"," "), ";"," "), "!"," "), ","," "), "?"," "), "."," ")))," ","_")),"")</f>
        <v/>
      </c>
      <c r="AG4" t="str">
        <f>IF(LEN(B4)&lt;&gt;0,_xlfn.CONCAT("dialogue.npc_name.",SUBSTITUTE( LOWER( TRIM( SUBSTITUTE( SUBSTITUTE( SUBSTITUTE( SUBSTITUTE( SUBSTITUTE( SUBSTITUTE( SUBSTITUTE( SUBSTITUTE( SUBSTITUTE( B4, "("," "), ")"," "), "-"," "), ":"," "), ";"," "), "!"," "), ","," "), "?"," "), "."," ")))," ","_")),"")</f>
        <v>dialogue.npc_name.none</v>
      </c>
      <c r="AH4" t="s">
        <v>175</v>
      </c>
    </row>
    <row r="5" spans="1:42" x14ac:dyDescent="0.25">
      <c r="A5" s="21" t="s">
        <v>36</v>
      </c>
      <c r="B5" t="s">
        <v>37</v>
      </c>
      <c r="C5" t="s">
        <v>38</v>
      </c>
      <c r="F5" t="s">
        <v>39</v>
      </c>
      <c r="G5" t="s">
        <v>40</v>
      </c>
      <c r="H5" t="s">
        <v>41</v>
      </c>
      <c r="I5" t="s">
        <v>42</v>
      </c>
      <c r="J5" t="s">
        <v>35</v>
      </c>
      <c r="K5" t="s">
        <v>29</v>
      </c>
      <c r="S5" t="s">
        <v>99</v>
      </c>
      <c r="T5" t="s">
        <v>81</v>
      </c>
      <c r="U5" t="s">
        <v>85</v>
      </c>
      <c r="V5" t="s">
        <v>84</v>
      </c>
      <c r="W5" t="s">
        <v>183</v>
      </c>
      <c r="X5" t="s">
        <v>183</v>
      </c>
      <c r="Y5" t="s">
        <v>183</v>
      </c>
      <c r="Z5" t="s">
        <v>93</v>
      </c>
      <c r="AA5" t="str">
        <f>IF(LEN(F5)&lt;&gt;0,_xlfn.CONCAT("dialogue.button.",SUBSTITUTE( LOWER( TRIM( SUBSTITUTE( SUBSTITUTE( SUBSTITUTE( SUBSTITUTE( SUBSTITUTE( SUBSTITUTE( SUBSTITUTE( SUBSTITUTE( SUBSTITUTE( F5, "("," "), ")"," "), "-"," "), ":"," "), ";"," "), "!"," "), ","," "), "?"," "), "."," ")))," ","_")),"")</f>
        <v>dialogue.button.does_this_work</v>
      </c>
      <c r="AB5" t="str">
        <f>IF(LEN(H5)&lt;&gt;0,_xlfn.CONCAT("dialogue.button.",SUBSTITUTE( LOWER( TRIM( SUBSTITUTE( SUBSTITUTE( SUBSTITUTE( SUBSTITUTE( SUBSTITUTE( SUBSTITUTE( SUBSTITUTE( SUBSTITUTE( SUBSTITUTE( H5, "("," "), ")"," "), "-"," "), ":"," "), ";"," "), "!"," "), ","," "), "?"," "), "."," ")))," ","_")),"")</f>
        <v>dialogue.button.help_test</v>
      </c>
      <c r="AC5" t="str">
        <f>IF(LEN(J5)&lt;&gt;0,_xlfn.CONCAT("dialogue.button.",SUBSTITUTE( LOWER( TRIM( SUBSTITUTE( SUBSTITUTE( SUBSTITUTE( SUBSTITUTE( SUBSTITUTE( SUBSTITUTE( SUBSTITUTE( SUBSTITUTE( SUBSTITUTE( J5, "("," "), ")"," "), "-"," "), ":"," "), ";"," "), "!"," "), ","," "), "?"," "), "."," ")))," ","_")),"")</f>
        <v>dialogue.button.url_rules</v>
      </c>
      <c r="AD5" t="str">
        <f>IF(LEN(L5)&lt;&gt;0,_xlfn.CONCAT("dialogue.button.",SUBSTITUTE( LOWER( TRIM( SUBSTITUTE( SUBSTITUTE( SUBSTITUTE( SUBSTITUTE( SUBSTITUTE( SUBSTITUTE( SUBSTITUTE( SUBSTITUTE( SUBSTITUTE( L5, "("," "), ")"," "), "-"," "), ":"," "), ";"," "), "!"," "), ","," "), "?"," "), "."," ")))," ","_")),"")</f>
        <v/>
      </c>
      <c r="AE5" t="str">
        <f>IF(LEN(N5)&lt;&gt;0,_xlfn.CONCAT("dialogue.button.",SUBSTITUTE( LOWER( TRIM( SUBSTITUTE( SUBSTITUTE( SUBSTITUTE( SUBSTITUTE( SUBSTITUTE( SUBSTITUTE( SUBSTITUTE( SUBSTITUTE( SUBSTITUTE( N5, "("," "), ")"," "), "-"," "), ":"," "), ";"," "), "!"," "), ","," "), "?"," "), "."," ")))," ","_")),"")</f>
        <v/>
      </c>
      <c r="AF5" t="str">
        <f>IF(LEN(P5)&lt;&gt;0,_xlfn.CONCAT("dialogue.button.",SUBSTITUTE( LOWER( TRIM( SUBSTITUTE( SUBSTITUTE( SUBSTITUTE( SUBSTITUTE( SUBSTITUTE( SUBSTITUTE( SUBSTITUTE( SUBSTITUTE( SUBSTITUTE( P5, "("," "), ")"," "), "-"," "), ":"," "), ";"," "), "!"," "), ","," "), "?"," "), "."," ")))," ","_")),"")</f>
        <v/>
      </c>
      <c r="AG5" t="str">
        <f>IF(LEN(B5)&lt;&gt;0,_xlfn.CONCAT("dialogue.npc_name.",SUBSTITUTE( LOWER( TRIM( SUBSTITUTE( SUBSTITUTE( SUBSTITUTE( SUBSTITUTE( SUBSTITUTE( SUBSTITUTE( SUBSTITUTE( SUBSTITUTE( SUBSTITUTE( B5, "("," "), ")"," "), "-"," "), ":"," "), ";"," "), "!"," "), ","," "), "?"," "), "."," ")))," ","_")),"")</f>
        <v>dialogue.npc_name.allison</v>
      </c>
      <c r="AH5" t="s">
        <v>176</v>
      </c>
    </row>
    <row r="6" spans="1:42" x14ac:dyDescent="0.25">
      <c r="A6" s="21" t="s">
        <v>43</v>
      </c>
      <c r="B6" t="s">
        <v>44</v>
      </c>
      <c r="C6" t="s">
        <v>45</v>
      </c>
      <c r="D6" t="s">
        <v>46</v>
      </c>
      <c r="E6" t="s">
        <v>47</v>
      </c>
      <c r="F6">
        <v>1</v>
      </c>
      <c r="G6" t="s">
        <v>48</v>
      </c>
      <c r="H6">
        <v>2</v>
      </c>
      <c r="I6" t="s">
        <v>49</v>
      </c>
      <c r="J6">
        <v>3</v>
      </c>
      <c r="K6" t="s">
        <v>53</v>
      </c>
      <c r="L6">
        <v>4</v>
      </c>
      <c r="M6" t="s">
        <v>50</v>
      </c>
      <c r="N6">
        <v>5</v>
      </c>
      <c r="O6" t="s">
        <v>51</v>
      </c>
      <c r="P6">
        <v>6</v>
      </c>
      <c r="Q6" t="s">
        <v>52</v>
      </c>
      <c r="S6" t="s">
        <v>100</v>
      </c>
      <c r="T6" t="s">
        <v>82</v>
      </c>
      <c r="U6" t="s">
        <v>86</v>
      </c>
      <c r="V6" t="s">
        <v>88</v>
      </c>
      <c r="W6" t="s">
        <v>89</v>
      </c>
      <c r="X6" t="s">
        <v>90</v>
      </c>
      <c r="Y6" t="s">
        <v>91</v>
      </c>
      <c r="Z6" t="s">
        <v>94</v>
      </c>
      <c r="AA6" t="str">
        <f>IF(LEN(F6)&lt;&gt;0,_xlfn.CONCAT("dialogue.button.",SUBSTITUTE( LOWER( TRIM( SUBSTITUTE( SUBSTITUTE( SUBSTITUTE( SUBSTITUTE( SUBSTITUTE( SUBSTITUTE( SUBSTITUTE( SUBSTITUTE( SUBSTITUTE( F6, "("," "), ")"," "), "-"," "), ":"," "), ";"," "), "!"," "), ","," "), "?"," "), "."," ")))," ","_")),"")</f>
        <v>dialogue.button.1</v>
      </c>
      <c r="AB6" t="str">
        <f>IF(LEN(H6)&lt;&gt;0,_xlfn.CONCAT("dialogue.button.",SUBSTITUTE( LOWER( TRIM( SUBSTITUTE( SUBSTITUTE( SUBSTITUTE( SUBSTITUTE( SUBSTITUTE( SUBSTITUTE( SUBSTITUTE( SUBSTITUTE( SUBSTITUTE( H6, "("," "), ")"," "), "-"," "), ":"," "), ";"," "), "!"," "), ","," "), "?"," "), "."," ")))," ","_")),"")</f>
        <v>dialogue.button.2</v>
      </c>
      <c r="AC6" t="str">
        <f>IF(LEN(J6)&lt;&gt;0,_xlfn.CONCAT("dialogue.button.",SUBSTITUTE( LOWER( TRIM( SUBSTITUTE( SUBSTITUTE( SUBSTITUTE( SUBSTITUTE( SUBSTITUTE( SUBSTITUTE( SUBSTITUTE( SUBSTITUTE( SUBSTITUTE( J6, "("," "), ")"," "), "-"," "), ":"," "), ";"," "), "!"," "), ","," "), "?"," "), "."," ")))," ","_")),"")</f>
        <v>dialogue.button.3</v>
      </c>
      <c r="AD6" t="str">
        <f>IF(LEN(L6)&lt;&gt;0,_xlfn.CONCAT("dialogue.button.",SUBSTITUTE( LOWER( TRIM( SUBSTITUTE( SUBSTITUTE( SUBSTITUTE( SUBSTITUTE( SUBSTITUTE( SUBSTITUTE( SUBSTITUTE( SUBSTITUTE( SUBSTITUTE( L6, "("," "), ")"," "), "-"," "), ":"," "), ";"," "), "!"," "), ","," "), "?"," "), "."," ")))," ","_")),"")</f>
        <v>dialogue.button.4</v>
      </c>
      <c r="AE6" t="str">
        <f>IF(LEN(N6)&lt;&gt;0,_xlfn.CONCAT("dialogue.button.",SUBSTITUTE( LOWER( TRIM( SUBSTITUTE( SUBSTITUTE( SUBSTITUTE( SUBSTITUTE( SUBSTITUTE( SUBSTITUTE( SUBSTITUTE( SUBSTITUTE( SUBSTITUTE( N6, "("," "), ")"," "), "-"," "), ":"," "), ";"," "), "!"," "), ","," "), "?"," "), "."," ")))," ","_")),"")</f>
        <v>dialogue.button.5</v>
      </c>
      <c r="AF6" t="str">
        <f>IF(LEN(P6)&lt;&gt;0,_xlfn.CONCAT("dialogue.button.",SUBSTITUTE( LOWER( TRIM( SUBSTITUTE( SUBSTITUTE( SUBSTITUTE( SUBSTITUTE( SUBSTITUTE( SUBSTITUTE( SUBSTITUTE( SUBSTITUTE( SUBSTITUTE( P6, "("," "), ")"," "), "-"," "), ":"," "), ";"," "), "!"," "), ","," "), "?"," "), "."," ")))," ","_")),"")</f>
        <v>dialogue.button.6</v>
      </c>
      <c r="AG6" t="str">
        <f>IF(LEN(B6)&lt;&gt;0,_xlfn.CONCAT("dialogue.npc_name.",SUBSTITUTE( LOWER( TRIM( SUBSTITUTE( SUBSTITUTE( SUBSTITUTE( SUBSTITUTE( SUBSTITUTE( SUBSTITUTE( SUBSTITUTE( SUBSTITUTE( SUBSTITUTE( B6, "("," "), ")"," "), "-"," "), ":"," "), ";"," "), "!"," "), ","," "), "?"," "), "."," ")))," ","_")),"")</f>
        <v>dialogue.npc_name.robot</v>
      </c>
      <c r="AH6" t="s">
        <v>177</v>
      </c>
    </row>
    <row r="7" spans="1:42" ht="87" customHeight="1" x14ac:dyDescent="0.25">
      <c r="A7" s="21" t="s">
        <v>74</v>
      </c>
      <c r="B7" t="s">
        <v>75</v>
      </c>
      <c r="C7" s="8" t="s">
        <v>97</v>
      </c>
      <c r="F7" t="s">
        <v>76</v>
      </c>
      <c r="H7" t="s">
        <v>77</v>
      </c>
      <c r="J7" t="s">
        <v>35</v>
      </c>
      <c r="K7" t="s">
        <v>29</v>
      </c>
      <c r="R7" t="s">
        <v>78</v>
      </c>
      <c r="S7" t="s">
        <v>101</v>
      </c>
      <c r="T7" t="s">
        <v>83</v>
      </c>
      <c r="U7" t="s">
        <v>87</v>
      </c>
      <c r="V7" t="s">
        <v>180</v>
      </c>
      <c r="W7" t="s">
        <v>184</v>
      </c>
      <c r="X7" t="s">
        <v>184</v>
      </c>
      <c r="Y7" t="s">
        <v>184</v>
      </c>
      <c r="Z7" t="s">
        <v>95</v>
      </c>
      <c r="AA7" t="str">
        <f>IF(LEN(F7)&lt;&gt;0,_xlfn.CONCAT("dialogue.button.",SUBSTITUTE( LOWER( TRIM( SUBSTITUTE( SUBSTITUTE( SUBSTITUTE( SUBSTITUTE( SUBSTITUTE( SUBSTITUTE( SUBSTITUTE( SUBSTITUTE( SUBSTITUTE( F7, "("," "), ")"," "), "-"," "), ":"," "), ";"," "), "!"," "), ","," "), "?"," "), "."," ")))," ","_")),"")</f>
        <v>dialogue.button.ñ_á_é</v>
      </c>
      <c r="AB7" t="str">
        <f>IF(LEN(H7)&lt;&gt;0,_xlfn.CONCAT("dialogue.button.",SUBSTITUTE( LOWER( TRIM( SUBSTITUTE( SUBSTITUTE( SUBSTITUTE( SUBSTITUTE( SUBSTITUTE( SUBSTITUTE( SUBSTITUTE( SUBSTITUTE( SUBSTITUTE( H7, "("," "), ")"," "), "-"," "), ":"," "), ";"," "), "!"," "), ","," "), "?"," "), "."," ")))," ","_")),"")</f>
        <v>dialogue.button.í_ó_ú</v>
      </c>
      <c r="AC7" t="str">
        <f>IF(LEN(J7)&lt;&gt;0,_xlfn.CONCAT("dialogue.button.",SUBSTITUTE( LOWER( TRIM( SUBSTITUTE( SUBSTITUTE( SUBSTITUTE( SUBSTITUTE( SUBSTITUTE( SUBSTITUTE( SUBSTITUTE( SUBSTITUTE( SUBSTITUTE( J7, "("," "), ")"," "), "-"," "), ":"," "), ";"," "), "!"," "), ","," "), "?"," "), "."," ")))," ","_")),"")</f>
        <v>dialogue.button.url_rules</v>
      </c>
      <c r="AD7" t="str">
        <f>IF(LEN(L7)&lt;&gt;0,_xlfn.CONCAT("dialogue.button.",SUBSTITUTE( LOWER( TRIM( SUBSTITUTE( SUBSTITUTE( SUBSTITUTE( SUBSTITUTE( SUBSTITUTE( SUBSTITUTE( SUBSTITUTE( SUBSTITUTE( SUBSTITUTE( L7, "("," "), ")"," "), "-"," "), ":"," "), ";"," "), "!"," "), ","," "), "?"," "), "."," ")))," ","_")),"")</f>
        <v/>
      </c>
      <c r="AE7" t="str">
        <f>IF(LEN(N7)&lt;&gt;0,_xlfn.CONCAT("dialogue.button.",SUBSTITUTE( LOWER( TRIM( SUBSTITUTE( SUBSTITUTE( SUBSTITUTE( SUBSTITUTE( SUBSTITUTE( SUBSTITUTE( SUBSTITUTE( SUBSTITUTE( SUBSTITUTE( N7, "("," "), ")"," "), "-"," "), ":"," "), ";"," "), "!"," "), ","," "), "?"," "), "."," ")))," ","_")),"")</f>
        <v/>
      </c>
      <c r="AF7" t="str">
        <f>IF(LEN(P7)&lt;&gt;0,_xlfn.CONCAT("dialogue.button.",SUBSTITUTE( LOWER( TRIM( SUBSTITUTE( SUBSTITUTE( SUBSTITUTE( SUBSTITUTE( SUBSTITUTE( SUBSTITUTE( SUBSTITUTE( SUBSTITUTE( SUBSTITUTE( P7, "("," "), ")"," "), "-"," "), ":"," "), ";"," "), "!"," "), ","," "), "?"," "), "."," ")))," ","_")),"")</f>
        <v/>
      </c>
      <c r="AG7" t="str">
        <f>IF(LEN(B7)&lt;&gt;0,_xlfn.CONCAT("dialogue.npc_name.",SUBSTITUTE( LOWER( TRIM( SUBSTITUTE( SUBSTITUTE( SUBSTITUTE( SUBSTITUTE( SUBSTITUTE( SUBSTITUTE( SUBSTITUTE( SUBSTITUTE( SUBSTITUTE( B7, "("," "), ")"," "), "-"," "), ":"," "), ";"," "), "!"," "), ","," "), "?"," "), "."," ")))," ","_")),"")</f>
        <v>dialogue.npc_name.testname</v>
      </c>
      <c r="AH7" t="s">
        <v>178</v>
      </c>
    </row>
    <row r="8" spans="1:42" x14ac:dyDescent="0.25">
      <c r="A8" s="21" t="s">
        <v>102</v>
      </c>
      <c r="B8" t="s">
        <v>79</v>
      </c>
      <c r="C8" t="s">
        <v>105</v>
      </c>
      <c r="F8" t="s">
        <v>35</v>
      </c>
      <c r="G8" t="s">
        <v>29</v>
      </c>
      <c r="S8" t="s">
        <v>107</v>
      </c>
      <c r="T8" t="s">
        <v>180</v>
      </c>
      <c r="U8" t="s">
        <v>182</v>
      </c>
      <c r="V8" t="s">
        <v>183</v>
      </c>
      <c r="W8" t="s">
        <v>185</v>
      </c>
      <c r="X8" t="s">
        <v>185</v>
      </c>
      <c r="Y8" t="s">
        <v>185</v>
      </c>
      <c r="Z8" t="s">
        <v>96</v>
      </c>
      <c r="AA8" t="str">
        <f>IF(LEN(F8)&lt;&gt;0,_xlfn.CONCAT("dialogue.button.",SUBSTITUTE( LOWER( TRIM( SUBSTITUTE( SUBSTITUTE( SUBSTITUTE( SUBSTITUTE( SUBSTITUTE( SUBSTITUTE( SUBSTITUTE( SUBSTITUTE( SUBSTITUTE( F8, "("," "), ")"," "), "-"," "), ":"," "), ";"," "), "!"," "), ","," "), "?"," "), "."," ")))," ","_")),"")</f>
        <v>dialogue.button.url_rules</v>
      </c>
      <c r="AB8" t="str">
        <f>IF(LEN(H8)&lt;&gt;0,_xlfn.CONCAT("dialogue.button.",SUBSTITUTE( LOWER( TRIM( SUBSTITUTE( SUBSTITUTE( SUBSTITUTE( SUBSTITUTE( SUBSTITUTE( SUBSTITUTE( SUBSTITUTE( SUBSTITUTE( SUBSTITUTE( H8, "("," "), ")"," "), "-"," "), ":"," "), ";"," "), "!"," "), ","," "), "?"," "), "."," ")))," ","_")),"")</f>
        <v/>
      </c>
      <c r="AC8" t="str">
        <f>IF(LEN(J8)&lt;&gt;0,_xlfn.CONCAT("dialogue.button.",SUBSTITUTE( LOWER( TRIM( SUBSTITUTE( SUBSTITUTE( SUBSTITUTE( SUBSTITUTE( SUBSTITUTE( SUBSTITUTE( SUBSTITUTE( SUBSTITUTE( SUBSTITUTE( J8, "("," "), ")"," "), "-"," "), ":"," "), ";"," "), "!"," "), ","," "), "?"," "), "."," ")))," ","_")),"")</f>
        <v/>
      </c>
      <c r="AD8" t="str">
        <f>IF(LEN(L8)&lt;&gt;0,_xlfn.CONCAT("dialogue.button.",SUBSTITUTE( LOWER( TRIM( SUBSTITUTE( SUBSTITUTE( SUBSTITUTE( SUBSTITUTE( SUBSTITUTE( SUBSTITUTE( SUBSTITUTE( SUBSTITUTE( SUBSTITUTE( L8, "("," "), ")"," "), "-"," "), ":"," "), ";"," "), "!"," "), ","," "), "?"," "), "."," ")))," ","_")),"")</f>
        <v/>
      </c>
      <c r="AE8" t="str">
        <f>IF(LEN(N8)&lt;&gt;0,_xlfn.CONCAT("dialogue.button.",SUBSTITUTE( LOWER( TRIM( SUBSTITUTE( SUBSTITUTE( SUBSTITUTE( SUBSTITUTE( SUBSTITUTE( SUBSTITUTE( SUBSTITUTE( SUBSTITUTE( SUBSTITUTE( N8, "("," "), ")"," "), "-"," "), ":"," "), ";"," "), "!"," "), ","," "), "?"," "), "."," ")))," ","_")),"")</f>
        <v/>
      </c>
      <c r="AF8" t="str">
        <f>IF(LEN(P8)&lt;&gt;0,_xlfn.CONCAT("dialogue.button.",SUBSTITUTE( LOWER( TRIM( SUBSTITUTE( SUBSTITUTE( SUBSTITUTE( SUBSTITUTE( SUBSTITUTE( SUBSTITUTE( SUBSTITUTE( SUBSTITUTE( SUBSTITUTE( P8, "("," "), ")"," "), "-"," "), ":"," "), ";"," "), "!"," "), ","," "), "?"," "), "."," ")))," ","_")),"")</f>
        <v/>
      </c>
      <c r="AG8" t="str">
        <f>IF(LEN(B8)&lt;&gt;0,_xlfn.CONCAT("dialogue.npc_name.",SUBSTITUTE( LOWER( TRIM( SUBSTITUTE( SUBSTITUTE( SUBSTITUTE( SUBSTITUTE( SUBSTITUTE( SUBSTITUTE( SUBSTITUTE( SUBSTITUTE( SUBSTITUTE( B8, "("," "), ")"," "), "-"," "), ":"," "), ";"," "), "!"," "), ","," "), "?"," "), "."," ")))," ","_")),"")</f>
        <v>dialogue.npc_name.none</v>
      </c>
      <c r="AH8" t="s">
        <v>175</v>
      </c>
    </row>
    <row r="9" spans="1:42" x14ac:dyDescent="0.25">
      <c r="A9" s="21" t="s">
        <v>205</v>
      </c>
      <c r="B9" t="s">
        <v>33</v>
      </c>
      <c r="C9" t="s">
        <v>26</v>
      </c>
      <c r="D9" t="s">
        <v>30</v>
      </c>
      <c r="E9" t="s">
        <v>34</v>
      </c>
      <c r="F9" t="s">
        <v>27</v>
      </c>
      <c r="G9" t="s">
        <v>28</v>
      </c>
      <c r="H9" t="s">
        <v>35</v>
      </c>
      <c r="I9" t="s">
        <v>29</v>
      </c>
      <c r="S9" t="s">
        <v>212</v>
      </c>
      <c r="T9" t="s">
        <v>186</v>
      </c>
      <c r="U9" t="s">
        <v>180</v>
      </c>
      <c r="V9" t="s">
        <v>184</v>
      </c>
      <c r="W9" t="s">
        <v>195</v>
      </c>
      <c r="X9" t="s">
        <v>195</v>
      </c>
      <c r="Y9" t="s">
        <v>195</v>
      </c>
      <c r="Z9" t="s">
        <v>92</v>
      </c>
      <c r="AA9" t="str">
        <f>IF(LEN(F9)&lt;&gt;0,_xlfn.CONCAT("dialogue.button.",SUBSTITUTE( LOWER( TRIM( SUBSTITUTE( SUBSTITUTE( SUBSTITUTE( SUBSTITUTE( SUBSTITUTE( SUBSTITUTE( SUBSTITUTE( SUBSTITUTE( SUBSTITUTE( F9, "("," "), ")"," "), "-"," "), ":"," "), ";"," "), "!"," "), ","," "), "?"," "), "."," ")))," ","_")),"")</f>
        <v>dialogue.button.need_food</v>
      </c>
      <c r="AB9" t="str">
        <f>IF(LEN(H9)&lt;&gt;0,_xlfn.CONCAT("dialogue.button.",SUBSTITUTE( LOWER( TRIM( SUBSTITUTE( SUBSTITUTE( SUBSTITUTE( SUBSTITUTE( SUBSTITUTE( SUBSTITUTE( SUBSTITUTE( SUBSTITUTE( SUBSTITUTE( H9, "("," "), ")"," "), "-"," "), ":"," "), ";"," "), "!"," "), ","," "), "?"," "), "."," ")))," ","_")),"")</f>
        <v>dialogue.button.url_rules</v>
      </c>
      <c r="AC9" t="str">
        <f>IF(LEN(J9)&lt;&gt;0,_xlfn.CONCAT("dialogue.button.",SUBSTITUTE( LOWER( TRIM( SUBSTITUTE( SUBSTITUTE( SUBSTITUTE( SUBSTITUTE( SUBSTITUTE( SUBSTITUTE( SUBSTITUTE( SUBSTITUTE( SUBSTITUTE( J9, "("," "), ")"," "), "-"," "), ":"," "), ";"," "), "!"," "), ","," "), "?"," "), "."," ")))," ","_")),"")</f>
        <v/>
      </c>
      <c r="AD9" t="str">
        <f>IF(LEN(L9)&lt;&gt;0,_xlfn.CONCAT("dialogue.button.",SUBSTITUTE( LOWER( TRIM( SUBSTITUTE( SUBSTITUTE( SUBSTITUTE( SUBSTITUTE( SUBSTITUTE( SUBSTITUTE( SUBSTITUTE( SUBSTITUTE( SUBSTITUTE( L9, "("," "), ")"," "), "-"," "), ":"," "), ";"," "), "!"," "), ","," "), "?"," "), "."," ")))," ","_")),"")</f>
        <v/>
      </c>
      <c r="AE9" t="str">
        <f>IF(LEN(N9)&lt;&gt;0,_xlfn.CONCAT("dialogue.button.",SUBSTITUTE( LOWER( TRIM( SUBSTITUTE( SUBSTITUTE( SUBSTITUTE( SUBSTITUTE( SUBSTITUTE( SUBSTITUTE( SUBSTITUTE( SUBSTITUTE( SUBSTITUTE( N9, "("," "), ")"," "), "-"," "), ":"," "), ";"," "), "!"," "), ","," "), "?"," "), "."," ")))," ","_")),"")</f>
        <v/>
      </c>
      <c r="AF9" t="str">
        <f>IF(LEN(P9)&lt;&gt;0,_xlfn.CONCAT("dialogue.button.",SUBSTITUTE( LOWER( TRIM( SUBSTITUTE( SUBSTITUTE( SUBSTITUTE( SUBSTITUTE( SUBSTITUTE( SUBSTITUTE( SUBSTITUTE( SUBSTITUTE( SUBSTITUTE( P9, "("," "), ")"," "), "-"," "), ":"," "), ";"," "), "!"," "), ","," "), "?"," "), "."," ")))," ","_")),"")</f>
        <v/>
      </c>
      <c r="AG9" t="str">
        <f>IF(LEN(B9)&lt;&gt;0,_xlfn.CONCAT("dialogue.npc_name.",SUBSTITUTE( LOWER( TRIM( SUBSTITUTE( SUBSTITUTE( SUBSTITUTE( SUBSTITUTE( SUBSTITUTE( SUBSTITUTE( SUBSTITUTE( SUBSTITUTE( SUBSTITUTE( B9, "("," "), ")"," "), "-"," "), ":"," "), ";"," "), "!"," "), ","," "), "?"," "), "."," ")))," ","_")),"")</f>
        <v>dialogue.npc_name.john_doe</v>
      </c>
      <c r="AH9" t="s">
        <v>173</v>
      </c>
    </row>
    <row r="10" spans="1:42" x14ac:dyDescent="0.25">
      <c r="A10" s="21" t="s">
        <v>206</v>
      </c>
      <c r="B10" t="s">
        <v>110</v>
      </c>
      <c r="C10" t="s">
        <v>111</v>
      </c>
      <c r="F10" t="s">
        <v>35</v>
      </c>
      <c r="G10" t="s">
        <v>29</v>
      </c>
      <c r="S10" t="s">
        <v>213</v>
      </c>
      <c r="T10" t="s">
        <v>187</v>
      </c>
      <c r="U10" t="s">
        <v>183</v>
      </c>
      <c r="V10" t="s">
        <v>185</v>
      </c>
      <c r="W10" t="s">
        <v>197</v>
      </c>
      <c r="X10" t="s">
        <v>197</v>
      </c>
      <c r="Y10" t="s">
        <v>197</v>
      </c>
      <c r="Z10" t="s">
        <v>113</v>
      </c>
      <c r="AA10" t="str">
        <f>IF(LEN(F10)&lt;&gt;0,_xlfn.CONCAT("dialogue.button.",SUBSTITUTE( LOWER( TRIM( SUBSTITUTE( SUBSTITUTE( SUBSTITUTE( SUBSTITUTE( SUBSTITUTE( SUBSTITUTE( SUBSTITUTE( SUBSTITUTE( SUBSTITUTE( F10, "("," "), ")"," "), "-"," "), ":"," "), ";"," "), "!"," "), ","," "), "?"," "), "."," ")))," ","_")),"")</f>
        <v>dialogue.button.url_rules</v>
      </c>
      <c r="AB10" t="str">
        <f>IF(LEN(H10)&lt;&gt;0,_xlfn.CONCAT("dialogue.button.",SUBSTITUTE( LOWER( TRIM( SUBSTITUTE( SUBSTITUTE( SUBSTITUTE( SUBSTITUTE( SUBSTITUTE( SUBSTITUTE( SUBSTITUTE( SUBSTITUTE( SUBSTITUTE( H10, "("," "), ")"," "), "-"," "), ":"," "), ";"," "), "!"," "), ","," "), "?"," "), "."," ")))," ","_")),"")</f>
        <v/>
      </c>
      <c r="AC10" t="str">
        <f>IF(LEN(J10)&lt;&gt;0,_xlfn.CONCAT("dialogue.button.",SUBSTITUTE( LOWER( TRIM( SUBSTITUTE( SUBSTITUTE( SUBSTITUTE( SUBSTITUTE( SUBSTITUTE( SUBSTITUTE( SUBSTITUTE( SUBSTITUTE( SUBSTITUTE( J10, "("," "), ")"," "), "-"," "), ":"," "), ";"," "), "!"," "), ","," "), "?"," "), "."," ")))," ","_")),"")</f>
        <v/>
      </c>
      <c r="AD10" t="str">
        <f>IF(LEN(L10)&lt;&gt;0,_xlfn.CONCAT("dialogue.button.",SUBSTITUTE( LOWER( TRIM( SUBSTITUTE( SUBSTITUTE( SUBSTITUTE( SUBSTITUTE( SUBSTITUTE( SUBSTITUTE( SUBSTITUTE( SUBSTITUTE( SUBSTITUTE( L10, "("," "), ")"," "), "-"," "), ":"," "), ";"," "), "!"," "), ","," "), "?"," "), "."," ")))," ","_")),"")</f>
        <v/>
      </c>
      <c r="AE10" t="str">
        <f>IF(LEN(N10)&lt;&gt;0,_xlfn.CONCAT("dialogue.button.",SUBSTITUTE( LOWER( TRIM( SUBSTITUTE( SUBSTITUTE( SUBSTITUTE( SUBSTITUTE( SUBSTITUTE( SUBSTITUTE( SUBSTITUTE( SUBSTITUTE( SUBSTITUTE( N10, "("," "), ")"," "), "-"," "), ":"," "), ";"," "), "!"," "), ","," "), "?"," "), "."," ")))," ","_")),"")</f>
        <v/>
      </c>
      <c r="AF10" t="str">
        <f>IF(LEN(P10)&lt;&gt;0,_xlfn.CONCAT("dialogue.button.",SUBSTITUTE( LOWER( TRIM( SUBSTITUTE( SUBSTITUTE( SUBSTITUTE( SUBSTITUTE( SUBSTITUTE( SUBSTITUTE( SUBSTITUTE( SUBSTITUTE( SUBSTITUTE( P10, "("," "), ")"," "), "-"," "), ":"," "), ";"," "), "!"," "), ","," "), "?"," "), "."," ")))," ","_")),"")</f>
        <v/>
      </c>
      <c r="AG10" t="str">
        <f>IF(LEN(B10)&lt;&gt;0,_xlfn.CONCAT("dialogue.npc_name.",SUBSTITUTE( LOWER( TRIM( SUBSTITUTE( SUBSTITUTE( SUBSTITUTE( SUBSTITUTE( SUBSTITUTE( SUBSTITUTE( SUBSTITUTE( SUBSTITUTE( SUBSTITUTE( B10, "("," "), ")"," "), "-"," "), ":"," "), ";"," "), "!"," "), ","," "), "?"," "), "."," ")))," ","_")),"")</f>
        <v>dialogue.npc_name.url</v>
      </c>
      <c r="AH10" t="s">
        <v>174</v>
      </c>
    </row>
    <row r="11" spans="1:42" x14ac:dyDescent="0.25">
      <c r="A11" s="21" t="s">
        <v>207</v>
      </c>
      <c r="B11" t="s">
        <v>79</v>
      </c>
      <c r="C11" t="s">
        <v>104</v>
      </c>
      <c r="S11" t="s">
        <v>214</v>
      </c>
      <c r="T11" t="s">
        <v>181</v>
      </c>
      <c r="U11" t="s">
        <v>184</v>
      </c>
      <c r="V11" t="s">
        <v>195</v>
      </c>
      <c r="W11" t="s">
        <v>198</v>
      </c>
      <c r="X11" t="s">
        <v>198</v>
      </c>
      <c r="Y11" t="s">
        <v>198</v>
      </c>
      <c r="Z11" t="s">
        <v>96</v>
      </c>
      <c r="AA11" t="str">
        <f>IF(LEN(F11)&lt;&gt;0,_xlfn.CONCAT("dialogue.button.",SUBSTITUTE( LOWER( TRIM( SUBSTITUTE( SUBSTITUTE( SUBSTITUTE( SUBSTITUTE( SUBSTITUTE( SUBSTITUTE( SUBSTITUTE( SUBSTITUTE( SUBSTITUTE( F11, "("," "), ")"," "), "-"," "), ":"," "), ";"," "), "!"," "), ","," "), "?"," "), "."," ")))," ","_")),"")</f>
        <v/>
      </c>
      <c r="AB11" t="str">
        <f>IF(LEN(H11)&lt;&gt;0,_xlfn.CONCAT("dialogue.button.",SUBSTITUTE( LOWER( TRIM( SUBSTITUTE( SUBSTITUTE( SUBSTITUTE( SUBSTITUTE( SUBSTITUTE( SUBSTITUTE( SUBSTITUTE( SUBSTITUTE( SUBSTITUTE( H11, "("," "), ")"," "), "-"," "), ":"," "), ";"," "), "!"," "), ","," "), "?"," "), "."," ")))," ","_")),"")</f>
        <v/>
      </c>
      <c r="AC11" t="str">
        <f>IF(LEN(J11)&lt;&gt;0,_xlfn.CONCAT("dialogue.button.",SUBSTITUTE( LOWER( TRIM( SUBSTITUTE( SUBSTITUTE( SUBSTITUTE( SUBSTITUTE( SUBSTITUTE( SUBSTITUTE( SUBSTITUTE( SUBSTITUTE( SUBSTITUTE( J11, "("," "), ")"," "), "-"," "), ":"," "), ";"," "), "!"," "), ","," "), "?"," "), "."," ")))," ","_")),"")</f>
        <v/>
      </c>
      <c r="AD11" t="str">
        <f>IF(LEN(L11)&lt;&gt;0,_xlfn.CONCAT("dialogue.button.",SUBSTITUTE( LOWER( TRIM( SUBSTITUTE( SUBSTITUTE( SUBSTITUTE( SUBSTITUTE( SUBSTITUTE( SUBSTITUTE( SUBSTITUTE( SUBSTITUTE( SUBSTITUTE( L11, "("," "), ")"," "), "-"," "), ":"," "), ";"," "), "!"," "), ","," "), "?"," "), "."," ")))," ","_")),"")</f>
        <v/>
      </c>
      <c r="AE11" t="str">
        <f>IF(LEN(N11)&lt;&gt;0,_xlfn.CONCAT("dialogue.button.",SUBSTITUTE( LOWER( TRIM( SUBSTITUTE( SUBSTITUTE( SUBSTITUTE( SUBSTITUTE( SUBSTITUTE( SUBSTITUTE( SUBSTITUTE( SUBSTITUTE( SUBSTITUTE( N11, "("," "), ")"," "), "-"," "), ":"," "), ";"," "), "!"," "), ","," "), "?"," "), "."," ")))," ","_")),"")</f>
        <v/>
      </c>
      <c r="AF11" t="str">
        <f>IF(LEN(P11)&lt;&gt;0,_xlfn.CONCAT("dialogue.button.",SUBSTITUTE( LOWER( TRIM( SUBSTITUTE( SUBSTITUTE( SUBSTITUTE( SUBSTITUTE( SUBSTITUTE( SUBSTITUTE( SUBSTITUTE( SUBSTITUTE( SUBSTITUTE( P11, "("," "), ")"," "), "-"," "), ":"," "), ";"," "), "!"," "), ","," "), "?"," "), "."," ")))," ","_")),"")</f>
        <v/>
      </c>
      <c r="AG11" t="str">
        <f>IF(LEN(B11)&lt;&gt;0,_xlfn.CONCAT("dialogue.npc_name.",SUBSTITUTE( LOWER( TRIM( SUBSTITUTE( SUBSTITUTE( SUBSTITUTE( SUBSTITUTE( SUBSTITUTE( SUBSTITUTE( SUBSTITUTE( SUBSTITUTE( SUBSTITUTE( B11, "("," "), ")"," "), "-"," "), ":"," "), ";"," "), "!"," "), ","," "), "?"," "), "."," ")))," ","_")),"")</f>
        <v>dialogue.npc_name.none</v>
      </c>
      <c r="AH11" t="s">
        <v>175</v>
      </c>
    </row>
    <row r="12" spans="1:42" x14ac:dyDescent="0.25">
      <c r="A12" s="21" t="s">
        <v>208</v>
      </c>
      <c r="B12" t="s">
        <v>37</v>
      </c>
      <c r="C12" t="s">
        <v>38</v>
      </c>
      <c r="F12" t="s">
        <v>39</v>
      </c>
      <c r="G12" t="s">
        <v>40</v>
      </c>
      <c r="H12" t="s">
        <v>41</v>
      </c>
      <c r="I12" t="s">
        <v>42</v>
      </c>
      <c r="J12" t="s">
        <v>35</v>
      </c>
      <c r="K12" t="s">
        <v>29</v>
      </c>
      <c r="S12" t="s">
        <v>215</v>
      </c>
      <c r="T12" t="s">
        <v>188</v>
      </c>
      <c r="U12" t="s">
        <v>192</v>
      </c>
      <c r="V12" t="s">
        <v>187</v>
      </c>
      <c r="W12" t="s">
        <v>199</v>
      </c>
      <c r="X12" t="s">
        <v>199</v>
      </c>
      <c r="Y12" t="s">
        <v>199</v>
      </c>
      <c r="Z12" t="s">
        <v>93</v>
      </c>
      <c r="AA12" t="str">
        <f>IF(LEN(F12)&lt;&gt;0,_xlfn.CONCAT("dialogue.button.",SUBSTITUTE( LOWER( TRIM( SUBSTITUTE( SUBSTITUTE( SUBSTITUTE( SUBSTITUTE( SUBSTITUTE( SUBSTITUTE( SUBSTITUTE( SUBSTITUTE( SUBSTITUTE( F12, "("," "), ")"," "), "-"," "), ":"," "), ";"," "), "!"," "), ","," "), "?"," "), "."," ")))," ","_")),"")</f>
        <v>dialogue.button.does_this_work</v>
      </c>
      <c r="AB12" t="str">
        <f>IF(LEN(H12)&lt;&gt;0,_xlfn.CONCAT("dialogue.button.",SUBSTITUTE( LOWER( TRIM( SUBSTITUTE( SUBSTITUTE( SUBSTITUTE( SUBSTITUTE( SUBSTITUTE( SUBSTITUTE( SUBSTITUTE( SUBSTITUTE( SUBSTITUTE( H12, "("," "), ")"," "), "-"," "), ":"," "), ";"," "), "!"," "), ","," "), "?"," "), "."," ")))," ","_")),"")</f>
        <v>dialogue.button.help_test</v>
      </c>
      <c r="AC12" t="str">
        <f>IF(LEN(J12)&lt;&gt;0,_xlfn.CONCAT("dialogue.button.",SUBSTITUTE( LOWER( TRIM( SUBSTITUTE( SUBSTITUTE( SUBSTITUTE( SUBSTITUTE( SUBSTITUTE( SUBSTITUTE( SUBSTITUTE( SUBSTITUTE( SUBSTITUTE( J12, "("," "), ")"," "), "-"," "), ":"," "), ";"," "), "!"," "), ","," "), "?"," "), "."," ")))," ","_")),"")</f>
        <v>dialogue.button.url_rules</v>
      </c>
      <c r="AD12" t="str">
        <f>IF(LEN(L12)&lt;&gt;0,_xlfn.CONCAT("dialogue.button.",SUBSTITUTE( LOWER( TRIM( SUBSTITUTE( SUBSTITUTE( SUBSTITUTE( SUBSTITUTE( SUBSTITUTE( SUBSTITUTE( SUBSTITUTE( SUBSTITUTE( SUBSTITUTE( L12, "("," "), ")"," "), "-"," "), ":"," "), ";"," "), "!"," "), ","," "), "?"," "), "."," ")))," ","_")),"")</f>
        <v/>
      </c>
      <c r="AE12" t="str">
        <f>IF(LEN(N12)&lt;&gt;0,_xlfn.CONCAT("dialogue.button.",SUBSTITUTE( LOWER( TRIM( SUBSTITUTE( SUBSTITUTE( SUBSTITUTE( SUBSTITUTE( SUBSTITUTE( SUBSTITUTE( SUBSTITUTE( SUBSTITUTE( SUBSTITUTE( N12, "("," "), ")"," "), "-"," "), ":"," "), ";"," "), "!"," "), ","," "), "?"," "), "."," ")))," ","_")),"")</f>
        <v/>
      </c>
      <c r="AF12" t="str">
        <f>IF(LEN(P12)&lt;&gt;0,_xlfn.CONCAT("dialogue.button.",SUBSTITUTE( LOWER( TRIM( SUBSTITUTE( SUBSTITUTE( SUBSTITUTE( SUBSTITUTE( SUBSTITUTE( SUBSTITUTE( SUBSTITUTE( SUBSTITUTE( SUBSTITUTE( P12, "("," "), ")"," "), "-"," "), ":"," "), ";"," "), "!"," "), ","," "), "?"," "), "."," ")))," ","_")),"")</f>
        <v/>
      </c>
      <c r="AG12" t="str">
        <f>IF(LEN(B12)&lt;&gt;0,_xlfn.CONCAT("dialogue.npc_name.",SUBSTITUTE( LOWER( TRIM( SUBSTITUTE( SUBSTITUTE( SUBSTITUTE( SUBSTITUTE( SUBSTITUTE( SUBSTITUTE( SUBSTITUTE( SUBSTITUTE( SUBSTITUTE( B12, "("," "), ")"," "), "-"," "), ":"," "), ";"," "), "!"," "), ","," "), "?"," "), "."," ")))," ","_")),"")</f>
        <v>dialogue.npc_name.allison</v>
      </c>
      <c r="AH12" t="s">
        <v>176</v>
      </c>
    </row>
    <row r="13" spans="1:42" x14ac:dyDescent="0.25">
      <c r="A13" s="21" t="s">
        <v>209</v>
      </c>
      <c r="B13" t="s">
        <v>44</v>
      </c>
      <c r="C13" t="s">
        <v>45</v>
      </c>
      <c r="D13" t="s">
        <v>46</v>
      </c>
      <c r="E13" t="s">
        <v>47</v>
      </c>
      <c r="F13">
        <v>1</v>
      </c>
      <c r="G13" t="s">
        <v>48</v>
      </c>
      <c r="H13">
        <v>2</v>
      </c>
      <c r="I13" t="s">
        <v>49</v>
      </c>
      <c r="J13">
        <v>3</v>
      </c>
      <c r="K13" t="s">
        <v>53</v>
      </c>
      <c r="L13">
        <v>4</v>
      </c>
      <c r="M13" t="s">
        <v>50</v>
      </c>
      <c r="N13">
        <v>5</v>
      </c>
      <c r="O13" t="s">
        <v>51</v>
      </c>
      <c r="P13">
        <v>6</v>
      </c>
      <c r="Q13" t="s">
        <v>52</v>
      </c>
      <c r="S13" t="s">
        <v>216</v>
      </c>
      <c r="T13" t="s">
        <v>189</v>
      </c>
      <c r="U13" t="s">
        <v>193</v>
      </c>
      <c r="V13" t="s">
        <v>196</v>
      </c>
      <c r="W13" t="s">
        <v>200</v>
      </c>
      <c r="X13" t="s">
        <v>203</v>
      </c>
      <c r="Y13" t="s">
        <v>204</v>
      </c>
      <c r="Z13" t="s">
        <v>94</v>
      </c>
      <c r="AA13" t="str">
        <f>IF(LEN(F13)&lt;&gt;0,_xlfn.CONCAT("dialogue.button.",SUBSTITUTE( LOWER( TRIM( SUBSTITUTE( SUBSTITUTE( SUBSTITUTE( SUBSTITUTE( SUBSTITUTE( SUBSTITUTE( SUBSTITUTE( SUBSTITUTE( SUBSTITUTE( F13, "("," "), ")"," "), "-"," "), ":"," "), ";"," "), "!"," "), ","," "), "?"," "), "."," ")))," ","_")),"")</f>
        <v>dialogue.button.1</v>
      </c>
      <c r="AB13" t="str">
        <f>IF(LEN(H13)&lt;&gt;0,_xlfn.CONCAT("dialogue.button.",SUBSTITUTE( LOWER( TRIM( SUBSTITUTE( SUBSTITUTE( SUBSTITUTE( SUBSTITUTE( SUBSTITUTE( SUBSTITUTE( SUBSTITUTE( SUBSTITUTE( SUBSTITUTE( H13, "("," "), ")"," "), "-"," "), ":"," "), ";"," "), "!"," "), ","," "), "?"," "), "."," ")))," ","_")),"")</f>
        <v>dialogue.button.2</v>
      </c>
      <c r="AC13" t="str">
        <f>IF(LEN(J13)&lt;&gt;0,_xlfn.CONCAT("dialogue.button.",SUBSTITUTE( LOWER( TRIM( SUBSTITUTE( SUBSTITUTE( SUBSTITUTE( SUBSTITUTE( SUBSTITUTE( SUBSTITUTE( SUBSTITUTE( SUBSTITUTE( SUBSTITUTE( J13, "("," "), ")"," "), "-"," "), ":"," "), ";"," "), "!"," "), ","," "), "?"," "), "."," ")))," ","_")),"")</f>
        <v>dialogue.button.3</v>
      </c>
      <c r="AD13" t="str">
        <f>IF(LEN(L13)&lt;&gt;0,_xlfn.CONCAT("dialogue.button.",SUBSTITUTE( LOWER( TRIM( SUBSTITUTE( SUBSTITUTE( SUBSTITUTE( SUBSTITUTE( SUBSTITUTE( SUBSTITUTE( SUBSTITUTE( SUBSTITUTE( SUBSTITUTE( L13, "("," "), ")"," "), "-"," "), ":"," "), ";"," "), "!"," "), ","," "), "?"," "), "."," ")))," ","_")),"")</f>
        <v>dialogue.button.4</v>
      </c>
      <c r="AE13" t="str">
        <f>IF(LEN(N13)&lt;&gt;0,_xlfn.CONCAT("dialogue.button.",SUBSTITUTE( LOWER( TRIM( SUBSTITUTE( SUBSTITUTE( SUBSTITUTE( SUBSTITUTE( SUBSTITUTE( SUBSTITUTE( SUBSTITUTE( SUBSTITUTE( SUBSTITUTE( N13, "("," "), ")"," "), "-"," "), ":"," "), ";"," "), "!"," "), ","," "), "?"," "), "."," ")))," ","_")),"")</f>
        <v>dialogue.button.5</v>
      </c>
      <c r="AF13" t="str">
        <f>IF(LEN(P13)&lt;&gt;0,_xlfn.CONCAT("dialogue.button.",SUBSTITUTE( LOWER( TRIM( SUBSTITUTE( SUBSTITUTE( SUBSTITUTE( SUBSTITUTE( SUBSTITUTE( SUBSTITUTE( SUBSTITUTE( SUBSTITUTE( SUBSTITUTE( P13, "("," "), ")"," "), "-"," "), ":"," "), ";"," "), "!"," "), ","," "), "?"," "), "."," ")))," ","_")),"")</f>
        <v>dialogue.button.6</v>
      </c>
      <c r="AG13" t="str">
        <f>IF(LEN(B13)&lt;&gt;0,_xlfn.CONCAT("dialogue.npc_name.",SUBSTITUTE( LOWER( TRIM( SUBSTITUTE( SUBSTITUTE( SUBSTITUTE( SUBSTITUTE( SUBSTITUTE( SUBSTITUTE( SUBSTITUTE( SUBSTITUTE( SUBSTITUTE( B13, "("," "), ")"," "), "-"," "), ":"," "), ";"," "), "!"," "), ","," "), "?"," "), "."," ")))," ","_")),"")</f>
        <v>dialogue.npc_name.robot</v>
      </c>
      <c r="AH13" t="s">
        <v>177</v>
      </c>
    </row>
    <row r="14" spans="1:42" ht="180" x14ac:dyDescent="0.25">
      <c r="A14" s="21" t="s">
        <v>210</v>
      </c>
      <c r="B14" t="s">
        <v>75</v>
      </c>
      <c r="C14" s="8" t="s">
        <v>97</v>
      </c>
      <c r="F14" t="s">
        <v>76</v>
      </c>
      <c r="H14" t="s">
        <v>77</v>
      </c>
      <c r="J14" t="s">
        <v>35</v>
      </c>
      <c r="K14" t="s">
        <v>29</v>
      </c>
      <c r="S14" t="s">
        <v>217</v>
      </c>
      <c r="T14" t="s">
        <v>190</v>
      </c>
      <c r="U14" t="s">
        <v>194</v>
      </c>
      <c r="V14" t="s">
        <v>191</v>
      </c>
      <c r="W14" t="s">
        <v>201</v>
      </c>
      <c r="X14" t="s">
        <v>201</v>
      </c>
      <c r="Y14" t="s">
        <v>201</v>
      </c>
      <c r="Z14" t="s">
        <v>95</v>
      </c>
      <c r="AA14" t="str">
        <f>IF(LEN(F14)&lt;&gt;0,_xlfn.CONCAT("dialogue.button.",SUBSTITUTE( LOWER( TRIM( SUBSTITUTE( SUBSTITUTE( SUBSTITUTE( SUBSTITUTE( SUBSTITUTE( SUBSTITUTE( SUBSTITUTE( SUBSTITUTE( SUBSTITUTE( F14, "("," "), ")"," "), "-"," "), ":"," "), ";"," "), "!"," "), ","," "), "?"," "), "."," ")))," ","_")),"")</f>
        <v>dialogue.button.ñ_á_é</v>
      </c>
      <c r="AB14" t="str">
        <f>IF(LEN(H14)&lt;&gt;0,_xlfn.CONCAT("dialogue.button.",SUBSTITUTE( LOWER( TRIM( SUBSTITUTE( SUBSTITUTE( SUBSTITUTE( SUBSTITUTE( SUBSTITUTE( SUBSTITUTE( SUBSTITUTE( SUBSTITUTE( SUBSTITUTE( H14, "("," "), ")"," "), "-"," "), ":"," "), ";"," "), "!"," "), ","," "), "?"," "), "."," ")))," ","_")),"")</f>
        <v>dialogue.button.í_ó_ú</v>
      </c>
      <c r="AC14" t="str">
        <f>IF(LEN(J14)&lt;&gt;0,_xlfn.CONCAT("dialogue.button.",SUBSTITUTE( LOWER( TRIM( SUBSTITUTE( SUBSTITUTE( SUBSTITUTE( SUBSTITUTE( SUBSTITUTE( SUBSTITUTE( SUBSTITUTE( SUBSTITUTE( SUBSTITUTE( J14, "("," "), ")"," "), "-"," "), ":"," "), ";"," "), "!"," "), ","," "), "?"," "), "."," ")))," ","_")),"")</f>
        <v>dialogue.button.url_rules</v>
      </c>
      <c r="AD14" t="str">
        <f>IF(LEN(L14)&lt;&gt;0,_xlfn.CONCAT("dialogue.button.",SUBSTITUTE( LOWER( TRIM( SUBSTITUTE( SUBSTITUTE( SUBSTITUTE( SUBSTITUTE( SUBSTITUTE( SUBSTITUTE( SUBSTITUTE( SUBSTITUTE( SUBSTITUTE( L14, "("," "), ")"," "), "-"," "), ":"," "), ";"," "), "!"," "), ","," "), "?"," "), "."," ")))," ","_")),"")</f>
        <v/>
      </c>
      <c r="AE14" t="str">
        <f>IF(LEN(N14)&lt;&gt;0,_xlfn.CONCAT("dialogue.button.",SUBSTITUTE( LOWER( TRIM( SUBSTITUTE( SUBSTITUTE( SUBSTITUTE( SUBSTITUTE( SUBSTITUTE( SUBSTITUTE( SUBSTITUTE( SUBSTITUTE( SUBSTITUTE( N14, "("," "), ")"," "), "-"," "), ":"," "), ";"," "), "!"," "), ","," "), "?"," "), "."," ")))," ","_")),"")</f>
        <v/>
      </c>
      <c r="AF14" t="str">
        <f>IF(LEN(P14)&lt;&gt;0,_xlfn.CONCAT("dialogue.button.",SUBSTITUTE( LOWER( TRIM( SUBSTITUTE( SUBSTITUTE( SUBSTITUTE( SUBSTITUTE( SUBSTITUTE( SUBSTITUTE( SUBSTITUTE( SUBSTITUTE( SUBSTITUTE( P14, "("," "), ")"," "), "-"," "), ":"," "), ";"," "), "!"," "), ","," "), "?"," "), "."," ")))," ","_")),"")</f>
        <v/>
      </c>
      <c r="AG14" t="str">
        <f>IF(LEN(B14)&lt;&gt;0,_xlfn.CONCAT("dialogue.npc_name.",SUBSTITUTE( LOWER( TRIM( SUBSTITUTE( SUBSTITUTE( SUBSTITUTE( SUBSTITUTE( SUBSTITUTE( SUBSTITUTE( SUBSTITUTE( SUBSTITUTE( SUBSTITUTE( B14, "("," "), ")"," "), "-"," "), ":"," "), ";"," "), "!"," "), ","," "), "?"," "), "."," ")))," ","_")),"")</f>
        <v>dialogue.npc_name.testname</v>
      </c>
      <c r="AH14" t="s">
        <v>178</v>
      </c>
    </row>
    <row r="15" spans="1:42" x14ac:dyDescent="0.25">
      <c r="A15" s="21" t="s">
        <v>211</v>
      </c>
      <c r="B15" t="s">
        <v>79</v>
      </c>
      <c r="C15" t="s">
        <v>105</v>
      </c>
      <c r="F15" t="s">
        <v>35</v>
      </c>
      <c r="G15" t="s">
        <v>29</v>
      </c>
      <c r="S15" t="s">
        <v>218</v>
      </c>
      <c r="T15" t="s">
        <v>191</v>
      </c>
      <c r="U15" t="s">
        <v>185</v>
      </c>
      <c r="V15" t="s">
        <v>197</v>
      </c>
      <c r="W15" t="s">
        <v>202</v>
      </c>
      <c r="X15" t="s">
        <v>202</v>
      </c>
      <c r="Y15" t="s">
        <v>202</v>
      </c>
      <c r="Z15" t="s">
        <v>96</v>
      </c>
      <c r="AA15" t="str">
        <f>IF(LEN(F15)&lt;&gt;0,_xlfn.CONCAT("dialogue.button.",SUBSTITUTE( LOWER( TRIM( SUBSTITUTE( SUBSTITUTE( SUBSTITUTE( SUBSTITUTE( SUBSTITUTE( SUBSTITUTE( SUBSTITUTE( SUBSTITUTE( SUBSTITUTE( F15, "("," "), ")"," "), "-"," "), ":"," "), ";"," "), "!"," "), ","," "), "?"," "), "."," ")))," ","_")),"")</f>
        <v>dialogue.button.url_rules</v>
      </c>
      <c r="AB15" t="str">
        <f>IF(LEN(H15)&lt;&gt;0,_xlfn.CONCAT("dialogue.button.",SUBSTITUTE( LOWER( TRIM( SUBSTITUTE( SUBSTITUTE( SUBSTITUTE( SUBSTITUTE( SUBSTITUTE( SUBSTITUTE( SUBSTITUTE( SUBSTITUTE( SUBSTITUTE( H15, "("," "), ")"," "), "-"," "), ":"," "), ";"," "), "!"," "), ","," "), "?"," "), "."," ")))," ","_")),"")</f>
        <v/>
      </c>
      <c r="AC15" t="str">
        <f>IF(LEN(J15)&lt;&gt;0,_xlfn.CONCAT("dialogue.button.",SUBSTITUTE( LOWER( TRIM( SUBSTITUTE( SUBSTITUTE( SUBSTITUTE( SUBSTITUTE( SUBSTITUTE( SUBSTITUTE( SUBSTITUTE( SUBSTITUTE( SUBSTITUTE( J15, "("," "), ")"," "), "-"," "), ":"," "), ";"," "), "!"," "), ","," "), "?"," "), "."," ")))," ","_")),"")</f>
        <v/>
      </c>
      <c r="AD15" t="str">
        <f>IF(LEN(L15)&lt;&gt;0,_xlfn.CONCAT("dialogue.button.",SUBSTITUTE( LOWER( TRIM( SUBSTITUTE( SUBSTITUTE( SUBSTITUTE( SUBSTITUTE( SUBSTITUTE( SUBSTITUTE( SUBSTITUTE( SUBSTITUTE( SUBSTITUTE( L15, "("," "), ")"," "), "-"," "), ":"," "), ";"," "), "!"," "), ","," "), "?"," "), "."," ")))," ","_")),"")</f>
        <v/>
      </c>
      <c r="AE15" t="str">
        <f>IF(LEN(N15)&lt;&gt;0,_xlfn.CONCAT("dialogue.button.",SUBSTITUTE( LOWER( TRIM( SUBSTITUTE( SUBSTITUTE( SUBSTITUTE( SUBSTITUTE( SUBSTITUTE( SUBSTITUTE( SUBSTITUTE( SUBSTITUTE( SUBSTITUTE( N15, "("," "), ")"," "), "-"," "), ":"," "), ";"," "), "!"," "), ","," "), "?"," "), "."," ")))," ","_")),"")</f>
        <v/>
      </c>
      <c r="AF15" t="str">
        <f>IF(LEN(P15)&lt;&gt;0,_xlfn.CONCAT("dialogue.button.",SUBSTITUTE( LOWER( TRIM( SUBSTITUTE( SUBSTITUTE( SUBSTITUTE( SUBSTITUTE( SUBSTITUTE( SUBSTITUTE( SUBSTITUTE( SUBSTITUTE( SUBSTITUTE( P15, "("," "), ")"," "), "-"," "), ":"," "), ";"," "), "!"," "), ","," "), "?"," "), "."," ")))," ","_")),"")</f>
        <v/>
      </c>
      <c r="AG15" t="str">
        <f>IF(LEN(B15)&lt;&gt;0,_xlfn.CONCAT("dialogue.npc_name.",SUBSTITUTE( LOWER( TRIM( SUBSTITUTE( SUBSTITUTE( SUBSTITUTE( SUBSTITUTE( SUBSTITUTE( SUBSTITUTE( SUBSTITUTE( SUBSTITUTE( SUBSTITUTE( B15, "("," "), ")"," "), "-"," "), ":"," "), ";"," "), "!"," "), ","," "), "?"," "), "."," ")))," ","_")),"")</f>
        <v>dialogue.npc_name.none</v>
      </c>
      <c r="AH15" t="s">
        <v>175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DialogueFile">
                <anchor moveWithCells="1" sizeWithCells="1">
                  <from>
                    <xdr:col>0</xdr:col>
                    <xdr:colOff>28575</xdr:colOff>
                    <xdr:row>0</xdr:row>
                    <xdr:rowOff>38100</xdr:rowOff>
                  </from>
                  <to>
                    <xdr:col>1</xdr:col>
                    <xdr:colOff>466725</xdr:colOff>
                    <xdr:row>0</xdr:row>
                    <xdr:rowOff>304800</xdr:rowOff>
                  </to>
                </anchor>
              </controlPr>
            </control>
          </mc:Choice>
        </mc:AlternateContent>
        <mc:AlternateContent xmlns:mc="http://schemas.openxmlformats.org/markup-compatibility/2006">
          <mc:Choice Requires="x14">
            <control shapeId="8194" r:id="rId5" name="Button 2">
              <controlPr defaultSize="0" print="0" autoFill="0" autoPict="0" macro="[0]!MasterCall">
                <anchor moveWithCells="1" sizeWithCells="1">
                  <from>
                    <xdr:col>0</xdr:col>
                    <xdr:colOff>28575</xdr:colOff>
                    <xdr:row>0</xdr:row>
                    <xdr:rowOff>38100</xdr:rowOff>
                  </from>
                  <to>
                    <xdr:col>1</xdr:col>
                    <xdr:colOff>466725</xdr:colOff>
                    <xdr:row>0</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Field descriptions</vt:lpstr>
      <vt:lpstr>NPC_Tool_test_examples</vt:lpstr>
      <vt:lpstr>NPCToolTest_blank</vt:lpstr>
      <vt:lpstr>NPCToolTest_blank (2)</vt:lpstr>
      <vt:lpstr>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tclyn</dc:creator>
  <cp:lastModifiedBy>tclyn</cp:lastModifiedBy>
  <cp:lastPrinted>2023-07-17T18:17:48Z</cp:lastPrinted>
  <dcterms:created xsi:type="dcterms:W3CDTF">2023-07-09T16:14:35Z</dcterms:created>
  <dcterms:modified xsi:type="dcterms:W3CDTF">2023-08-24T23:23:41Z</dcterms:modified>
</cp:coreProperties>
</file>