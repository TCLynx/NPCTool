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5.xml" ContentType="application/vnd.openxmlformats-officedocument.drawing+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tclyn\Desktop\NPCTool_1_1_38\"/>
    </mc:Choice>
  </mc:AlternateContent>
  <xr:revisionPtr revIDLastSave="0" documentId="13_ncr:1_{67885544-6BF8-4481-B432-6695E320E53E}" xr6:coauthVersionLast="47" xr6:coauthVersionMax="47" xr10:uidLastSave="{00000000-0000-0000-0000-000000000000}"/>
  <bookViews>
    <workbookView xWindow="-120" yWindow="-120" windowWidth="20730" windowHeight="11310" xr2:uid="{0FE6642A-A8CA-4001-81BA-C832E0114BFD}"/>
  </bookViews>
  <sheets>
    <sheet name="Instructions" sheetId="4" r:id="rId1"/>
    <sheet name="Field descriptions" sheetId="6" r:id="rId2"/>
    <sheet name="NPC_Tool_test_examples" sheetId="1" r:id="rId3"/>
    <sheet name="NPCToolTest_blank" sheetId="2" r:id="rId4"/>
    <sheet name="Math_Challenge" sheetId="3" r:id="rId5"/>
    <sheet name="URL" sheetId="5" r:id="rId6"/>
  </sheets>
  <functionGroups builtInGroupCount="19"/>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5" i="5" l="1"/>
  <c r="AF14" i="5"/>
  <c r="AF13" i="5"/>
  <c r="AF12" i="5"/>
  <c r="AF11" i="5"/>
  <c r="AF10" i="5"/>
  <c r="AF9" i="5"/>
  <c r="AF8" i="5"/>
  <c r="AF7" i="5"/>
  <c r="AF6" i="5"/>
  <c r="AF5" i="5"/>
  <c r="AF4" i="5"/>
  <c r="AF3" i="5"/>
  <c r="AF2" i="5"/>
  <c r="AE15" i="5"/>
  <c r="AE14" i="5"/>
  <c r="AE13" i="5"/>
  <c r="AE12" i="5"/>
  <c r="AE11" i="5"/>
  <c r="AE10" i="5"/>
  <c r="AE9" i="5"/>
  <c r="AE8" i="5"/>
  <c r="AE7" i="5"/>
  <c r="AE6" i="5"/>
  <c r="AE5" i="5"/>
  <c r="AE4" i="5"/>
  <c r="AE3" i="5"/>
  <c r="AE2" i="5"/>
  <c r="AD15" i="5"/>
  <c r="AD14" i="5"/>
  <c r="AD13" i="5"/>
  <c r="AD12" i="5"/>
  <c r="AD11" i="5"/>
  <c r="AD10" i="5"/>
  <c r="AD9" i="5"/>
  <c r="AD8" i="5"/>
  <c r="AD7" i="5"/>
  <c r="AD6" i="5"/>
  <c r="AD5" i="5"/>
  <c r="AD4" i="5"/>
  <c r="AD3" i="5"/>
  <c r="AD2" i="5"/>
  <c r="AC15" i="5"/>
  <c r="AC14" i="5"/>
  <c r="AC13" i="5"/>
  <c r="AC12" i="5"/>
  <c r="AC11" i="5"/>
  <c r="AC10" i="5"/>
  <c r="AC9" i="5"/>
  <c r="AC8" i="5"/>
  <c r="AC7" i="5"/>
  <c r="AC6" i="5"/>
  <c r="AC5" i="5"/>
  <c r="AC4" i="5"/>
  <c r="AC3" i="5"/>
  <c r="AC2" i="5"/>
  <c r="AB15" i="5"/>
  <c r="AB14" i="5"/>
  <c r="AB13" i="5"/>
  <c r="AB12" i="5"/>
  <c r="AB11" i="5"/>
  <c r="AB10" i="5"/>
  <c r="AB9" i="5"/>
  <c r="AB8" i="5"/>
  <c r="AB7" i="5"/>
  <c r="AB6" i="5"/>
  <c r="AB5" i="5"/>
  <c r="AB4" i="5"/>
  <c r="AB3" i="5"/>
  <c r="AB2" i="5"/>
  <c r="AA15" i="5"/>
  <c r="AA14" i="5"/>
  <c r="AA13" i="5"/>
  <c r="AA12" i="5"/>
  <c r="AA11" i="5"/>
  <c r="AA10" i="5"/>
  <c r="AA9" i="5"/>
  <c r="AA8" i="5"/>
  <c r="AA7" i="5"/>
  <c r="AA6" i="5"/>
  <c r="AA5" i="5"/>
  <c r="AA4" i="5"/>
  <c r="AA3" i="5"/>
  <c r="AA2" i="5"/>
  <c r="AG15" i="5"/>
  <c r="AG14" i="5"/>
  <c r="AG13" i="5"/>
  <c r="AG12" i="5"/>
  <c r="AG11" i="5"/>
  <c r="AG10" i="5"/>
  <c r="AG9" i="5"/>
  <c r="AG8" i="5"/>
  <c r="AG7" i="5"/>
  <c r="AG6" i="5"/>
  <c r="AG5" i="5"/>
  <c r="AG4" i="5"/>
  <c r="AG3" i="5"/>
  <c r="AG2" i="5"/>
  <c r="AF1" i="2"/>
  <c r="AE1" i="2"/>
  <c r="AD1" i="2"/>
  <c r="AC1" i="2"/>
  <c r="AB1" i="2"/>
  <c r="AA1" i="2"/>
</calcChain>
</file>

<file path=xl/sharedStrings.xml><?xml version="1.0" encoding="utf-8"?>
<sst xmlns="http://schemas.openxmlformats.org/spreadsheetml/2006/main" count="581" uniqueCount="258">
  <si>
    <t>scene_tag</t>
  </si>
  <si>
    <t>npc_name</t>
  </si>
  <si>
    <t>text</t>
  </si>
  <si>
    <t>button_name_1</t>
  </si>
  <si>
    <t>button_name_2</t>
  </si>
  <si>
    <t>button_name_3</t>
  </si>
  <si>
    <t>button_name_4</t>
  </si>
  <si>
    <t>button_name_5</t>
  </si>
  <si>
    <t>button_name_6</t>
  </si>
  <si>
    <t>button_commands_1</t>
  </si>
  <si>
    <t>button_commands_2</t>
  </si>
  <si>
    <t>button_commands_3</t>
  </si>
  <si>
    <t>button_commands_4</t>
  </si>
  <si>
    <t>button_commands_5</t>
  </si>
  <si>
    <t>button_commands_6</t>
  </si>
  <si>
    <t xml:space="preserve"> on_close_commands</t>
  </si>
  <si>
    <t>on_open_commands</t>
  </si>
  <si>
    <t>text_lang</t>
  </si>
  <si>
    <t>Language</t>
  </si>
  <si>
    <t>button_name_1_lang</t>
  </si>
  <si>
    <t xml:space="preserve"> button_name_2_lang</t>
  </si>
  <si>
    <t>button_name_3_lang</t>
  </si>
  <si>
    <t>button_name_4_lang</t>
  </si>
  <si>
    <t>button_name_5_lang</t>
  </si>
  <si>
    <t>button_name_6_lang</t>
  </si>
  <si>
    <t>en_US</t>
  </si>
  <si>
    <t>I am here to introduce you to this lesson world.  Please follow all the rules and we should get along fine.</t>
  </si>
  <si>
    <t>Need Food?</t>
  </si>
  <si>
    <t>"/give @initiator apple","/give @initiator carrot 2"</t>
  </si>
  <si>
    <t>"url": "https://google.com"</t>
  </si>
  <si>
    <t>"/tag @initiator add introduced"</t>
  </si>
  <si>
    <t>Summon Command</t>
  </si>
  <si>
    <t>intro_example_1</t>
  </si>
  <si>
    <t>John_Doe</t>
  </si>
  <si>
    <t>"/dialogue open @s @initiator test_example_1"</t>
  </si>
  <si>
    <t>URL (Rules)</t>
  </si>
  <si>
    <t>test_example_1</t>
  </si>
  <si>
    <t>Allison</t>
  </si>
  <si>
    <t>This is to test the Dialogue tool.</t>
  </si>
  <si>
    <t>Does this work?</t>
  </si>
  <si>
    <t>"/tp @initiator ~ ~1 ~","/give @initiator apple"</t>
  </si>
  <si>
    <t>Help Test?</t>
  </si>
  <si>
    <t>"/tell @initiator Thank You"</t>
  </si>
  <si>
    <t>robot_example</t>
  </si>
  <si>
    <t>Robot</t>
  </si>
  <si>
    <t>I am just a robot and not even artificially intelegent.</t>
  </si>
  <si>
    <t>"/say Robot Dialogue Open"</t>
  </si>
  <si>
    <t>"/say Robot Dialogue Closed"</t>
  </si>
  <si>
    <t>"/say 1", "/give @initiator apple 1"</t>
  </si>
  <si>
    <t>"/say 2","/give @initiator fish 2"</t>
  </si>
  <si>
    <t>"/say 4","/give @initiator arrow 4"</t>
  </si>
  <si>
    <t>"/say 5","/give @initiator log 5"</t>
  </si>
  <si>
    <t>"/say 6","/give @initiator stone 6"</t>
  </si>
  <si>
    <t>"/say 3","/give @initiator chicken 3"</t>
  </si>
  <si>
    <t>button_name_1 _formula</t>
  </si>
  <si>
    <t>button_name_2 _formula</t>
  </si>
  <si>
    <t>button_name_3 _formula</t>
  </si>
  <si>
    <t>button_name_4 _formula</t>
  </si>
  <si>
    <t>button_name_5 _formula</t>
  </si>
  <si>
    <t>button_name_6 _formula</t>
  </si>
  <si>
    <t>When ready, click the Macro button in the top Left of the sheet to create your files. The Macro works on one Sheet at a time.</t>
  </si>
  <si>
    <t>Viewing and editing the files can be done in a text editor.  Make sure to rename or move the files if you want to save them but need to re-run the macro as it will overwrite the files in the same directory with the same name.</t>
  </si>
  <si>
    <t>Once all is said and done, the filename.diag.json file/s will need to be placed into a dialogue folder within a behavior pack that needs to be active on a world in order for the dialogue scenes to be available for use within the world via the /dialogue open or /cialogue change commands.  The .lang file will need to be placed in the resource pack texts folder.  And it will need to be titled with the language code.  For example en_US.lang is what I would use for US English.  The Language files for any single language will need to be consolidated into a single .lang file and any duplicate buttons can be removed (as in the same button name could be used for more than one scene or even dialogue file.)</t>
  </si>
  <si>
    <t>Fill in any of the fields you want to use.  Green Header means mandatory.  Red Header means the macro will auto fill those fields and you shouldn't.</t>
  </si>
  <si>
    <t>When you fill any of the Commands Fields (Headers in Yellow), you Must use "" aroun your commands and you must use the / before the command.  See Examples.</t>
  </si>
  <si>
    <t>I recommend making a copy of the NPCToolTest_blank sheet.  (Right click on the sheet tab at bottom and choose Move or Copy and be sure to check the box make copy.) Then you can rename it to whatever you like as your filename.  If you want to create more than one file, just do more than one sheet.</t>
  </si>
  <si>
    <r>
      <t xml:space="preserve">This tool is still under development and comes with no warranty or guarantee. 
</t>
    </r>
    <r>
      <rPr>
        <b/>
        <sz val="11"/>
        <color theme="1"/>
        <rFont val="Calibri"/>
        <family val="2"/>
        <scheme val="minor"/>
      </rPr>
      <t xml:space="preserve">
</t>
    </r>
  </si>
  <si>
    <t>https://discord.com/channels/412297987210084353/1126162935094464522</t>
  </si>
  <si>
    <t>Discussion on this tool can be found here https://discord.com/channels/412297987210084353/1126162935094464522</t>
  </si>
  <si>
    <t>https://discord.gg/7fSQBdx</t>
  </si>
  <si>
    <t>Invite to the Server is</t>
  </si>
  <si>
    <t>By Aleece B. Landis (otherwise known as TCLynx) tclynx@aquaponiclynx.com</t>
  </si>
  <si>
    <t>Before you start, make sure you save your workbook in the location where you want your files created.  XL has a habit of saving to strange places for me and I've discovered stuff being saved into the templates folder as I've been working on this.  Double Check where yoru workbook is saved before you run the macro.  I will create a macro button that will simply save the workbook in the same folder as the template you just used to create it.  This current Packs update is set up to create the folders you will need in your behavior pack and your resource pack.  The Lang file will still need editing because I have not yet written code to handle duplicates.</t>
  </si>
  <si>
    <t xml:space="preserve">The Folders created can have a manifest file added and then simply place them in the development_resource_packs or development_behavior_packs folder based on if it ends in RP for resource pack or BP for behavior pack.  If you don't know how to handle creating the manifest.json files for these, I have packaged the Tool in a zip file that already has the folders created and I have included a set of manifest.json files for the BP and RP folders.  If you are creating more than one addon with these you will need to update names, version numbers and/or uuids for the manifest files but what I supplied should at least get you started exploring the use of dialogue files.
</t>
  </si>
  <si>
    <t>test_tag</t>
  </si>
  <si>
    <t>TESTNAME</t>
  </si>
  <si>
    <t>Ñ Á É</t>
  </si>
  <si>
    <t>Í Ó Ú</t>
  </si>
  <si>
    <t>es_ES</t>
  </si>
  <si>
    <t>None</t>
  </si>
  <si>
    <t>dialogue.button.need_food</t>
  </si>
  <si>
    <t>dialogue.button.does_this_work</t>
  </si>
  <si>
    <t>dialogue.button.1</t>
  </si>
  <si>
    <t>dialogue.button.ñ_á_é</t>
  </si>
  <si>
    <t>dialogue.button.url_rules</t>
  </si>
  <si>
    <t>dialogue.button.help_test</t>
  </si>
  <si>
    <t>dialogue.button.2</t>
  </si>
  <si>
    <t>dialogue.button.í_ó_ú</t>
  </si>
  <si>
    <t>dialogue.button.3</t>
  </si>
  <si>
    <t>dialogue.button.4</t>
  </si>
  <si>
    <t>dialogue.button.5</t>
  </si>
  <si>
    <t>dialogue.button.6</t>
  </si>
  <si>
    <t>/summon npc John_Doe ~ ~ ~</t>
  </si>
  <si>
    <t>/summon npc Allison ~ ~ ~</t>
  </si>
  <si>
    <t>/summon npc Robot ~ ~ ~</t>
  </si>
  <si>
    <t>/summon npc TESTNAME ~ ~ ~</t>
  </si>
  <si>
    <t>/summon npc None ~ ~ ~</t>
  </si>
  <si>
    <t>Spanish symbols: testing to see if we can have line breaks
ñ ¡ ¿ á é í ó ú and another one</t>
  </si>
  <si>
    <t>dialogue.intro_example_1</t>
  </si>
  <si>
    <t>dialogue.test_example_1</t>
  </si>
  <si>
    <t>dialogue.robot_example</t>
  </si>
  <si>
    <t>dialogue.test_tag</t>
  </si>
  <si>
    <t>No_nothin_2</t>
  </si>
  <si>
    <t>No_nothin_1</t>
  </si>
  <si>
    <t>Now what do we do?</t>
  </si>
  <si>
    <t>And the line break test.</t>
  </si>
  <si>
    <t>dialogue.No_nothin_1</t>
  </si>
  <si>
    <t>dialogue.No_nothin_2</t>
  </si>
  <si>
    <t>Special Thanks to NicoChiari for helping with the Encoding to make Spanish language symbols available</t>
  </si>
  <si>
    <t>url_test</t>
  </si>
  <si>
    <t>URL</t>
  </si>
  <si>
    <t>I want to make sure there is a URL in this one.</t>
  </si>
  <si>
    <t>dialogue.url_test</t>
  </si>
  <si>
    <t>/summon npc URL ~ ~ ~</t>
  </si>
  <si>
    <t>If you would like to use more than one command in any of the command fields you may do that, simply put a , after the previous command and then alt + Enter to add a line break into the field so that each command will be on it's own line.  The line break is NOT mandator though it will make the dialogue file easier to read.  The comma between multiple commands in the cell IS MANDATORY.  Do not add a comma after the last command in the cell.</t>
  </si>
  <si>
    <t>If you want to use URL, please enter them like this "url": "https://google.com"  Only one URL per command field, do not mix URL and commands.  URL must have http:// or https://</t>
  </si>
  <si>
    <t>Unique Identifier for each dialogue</t>
  </si>
  <si>
    <t>The text that will show in the dialogue bubble for the scene.</t>
  </si>
  <si>
    <t>Commands that will execute when the Dialogue is opened.</t>
  </si>
  <si>
    <t>Commands that will execute when the Dialogue is closed.</t>
  </si>
  <si>
    <t>URL or commands to be executed when pressing the first button.</t>
  </si>
  <si>
    <t>URL or commands to be executed when pressing the second button.</t>
  </si>
  <si>
    <t>URL or commands to be executed when pressing the third button.</t>
  </si>
  <si>
    <t>URL or commands to be executed when pressing the fourth button.</t>
  </si>
  <si>
    <t>URL or commands to be executed when pressing the fifth button.</t>
  </si>
  <si>
    <t>URL or commands to be executed when pressing the sixth button.</t>
  </si>
  <si>
    <t>Green fields are mandatory</t>
  </si>
  <si>
    <t>White could be left blank.</t>
  </si>
  <si>
    <t>Yellow is optional</t>
  </si>
  <si>
    <t>Button names should be fairly short.  If you need to give more information, add it to the text.</t>
  </si>
  <si>
    <t>Use this format for commands "/give @initiator apple"</t>
  </si>
  <si>
    <t>Red is for the Macro and formula, Leave  alone.</t>
  </si>
  <si>
    <t>If you need more than one command, simply put a , between commands.  No spaces between and No comma at the end.</t>
  </si>
  <si>
    <t>Use " " around commands and use the leading / this format for commands "/give @initiator apple"</t>
  </si>
  <si>
    <t>This name can be used to summon an NPC in the game using the summon command supplied in field Z.</t>
  </si>
  <si>
    <t>Optional. Include this to create buttons for your NPC. Its properties are name and commands. The name property sets the text that is going to be displayed on your NPC's button. The commands property is the commands which will be run in-game when the button is pressed. These are required for NPC buttons to appear on the dialogue.</t>
  </si>
  <si>
    <t>This dialog box has a limit of 307 characters before the text goes off the screen (scroll bar does appear.) You can also use color codes to change the color of the text.</t>
  </si>
  <si>
    <t>Can be used in game to summon the NPCs at your desired location.</t>
  </si>
  <si>
    <t>Name on the first button.  Character limit 15-16</t>
  </si>
  <si>
    <t>Name on the second button.  Character limit 15-16</t>
  </si>
  <si>
    <t>Name on the third button.  Character limit 15-16</t>
  </si>
  <si>
    <t>Name on the fourth button.  Character limit 15-16</t>
  </si>
  <si>
    <t>Name on the fifth button.  Character limit 15-16</t>
  </si>
  <si>
    <t>Name on the sixth button.  Character limit 15-16</t>
  </si>
  <si>
    <t>Translation Comments</t>
  </si>
  <si>
    <t>text_comments</t>
  </si>
  <si>
    <t>button_1_comments</t>
  </si>
  <si>
    <t>button_2_comments</t>
  </si>
  <si>
    <t>button_3_comments</t>
  </si>
  <si>
    <t>button_4_comments</t>
  </si>
  <si>
    <t>button_5_comments</t>
  </si>
  <si>
    <t>button_6_comments</t>
  </si>
  <si>
    <t>https://learn.microsoft.com/en-us/minecraft/creator/documents/preparingrawtextforlocalization</t>
  </si>
  <si>
    <t>See URL for best practice on commenting for translation</t>
  </si>
  <si>
    <t>npc_name_lang</t>
  </si>
  <si>
    <t>npc_name_lang_formula</t>
  </si>
  <si>
    <t>npc_name_comments</t>
  </si>
  <si>
    <t>https://learn.microsoft.com/en-us/minecraft/creator/documents/npcdialogue</t>
  </si>
  <si>
    <t>To actually use your dialogue scenes in game.  You will need to use the /dialogue commands to make sure the saved scenes open as you wish them to.  The following link has more information on using the /dialogue commands.</t>
  </si>
  <si>
    <t>Best practice, all lower case and no spaces.  Start with a letter.  The scene_tag will be used as the key for the text in the language file.</t>
  </si>
  <si>
    <t>Translation comments for npc_name are in field AI</t>
  </si>
  <si>
    <t>Translation comments for text are in field AJ</t>
  </si>
  <si>
    <t>Translation comments for button_name_1 are in field AK</t>
  </si>
  <si>
    <t>Translation comments for button_name_2 are in field AL</t>
  </si>
  <si>
    <t>Translation comments for button_name_3 are in field AM</t>
  </si>
  <si>
    <t>Translation comments for button_name_4 are in field AN</t>
  </si>
  <si>
    <t>Translation comments for button_name_5 are in field AO</t>
  </si>
  <si>
    <t>Translation comments for button_name_6 are in field AP</t>
  </si>
  <si>
    <t>These are not Mandatory</t>
  </si>
  <si>
    <t>They are recommended</t>
  </si>
  <si>
    <t>If you will be having your content translated.</t>
  </si>
  <si>
    <t>Name for the NPC in the Dialogue Names are limited to 32 characters.</t>
  </si>
  <si>
    <t>Not Mandatory for the Dialogue but helpful for summoning NPC and choosing who to show in it.</t>
  </si>
  <si>
    <t>dialogue.npc_name.john_doe</t>
  </si>
  <si>
    <t>dialogue.npc_name.url</t>
  </si>
  <si>
    <t>dialogue.npc_name.none</t>
  </si>
  <si>
    <t>dialogue.npc_name.allison</t>
  </si>
  <si>
    <t>dialogue.npc_name.robot</t>
  </si>
  <si>
    <t>dialogue.npc_name.testname</t>
  </si>
  <si>
    <t>dialogue.button.url_rules_1</t>
  </si>
  <si>
    <t>_1</t>
  </si>
  <si>
    <t>_2</t>
  </si>
  <si>
    <t>_3</t>
  </si>
  <si>
    <t>_4</t>
  </si>
  <si>
    <t>_5</t>
  </si>
  <si>
    <t>dialogue.button.need_food_1</t>
  </si>
  <si>
    <t>dialogue.button.url_rules_2</t>
  </si>
  <si>
    <t>dialogue.button.does_this_work_1</t>
  </si>
  <si>
    <t>dialogue.button.1_1</t>
  </si>
  <si>
    <t>dialogue.button.ñ_á_é_1</t>
  </si>
  <si>
    <t>dialogue.button.url_rules_3</t>
  </si>
  <si>
    <t>dialogue.button.help_test_1</t>
  </si>
  <si>
    <t>dialogue.button.2_1</t>
  </si>
  <si>
    <t>dialogue.button.í_ó_ú_1</t>
  </si>
  <si>
    <t>_6</t>
  </si>
  <si>
    <t>dialogue.button.3_1</t>
  </si>
  <si>
    <t>_7</t>
  </si>
  <si>
    <t>_8</t>
  </si>
  <si>
    <t>_9</t>
  </si>
  <si>
    <t>dialogue.button.4_1</t>
  </si>
  <si>
    <t>_10</t>
  </si>
  <si>
    <t>_11</t>
  </si>
  <si>
    <t>dialogue.button.5_1</t>
  </si>
  <si>
    <t>dialogue.button.6_1</t>
  </si>
  <si>
    <t>intro_example_12</t>
  </si>
  <si>
    <t>url_test2</t>
  </si>
  <si>
    <t>No_nothin_12</t>
  </si>
  <si>
    <t>test_example_12</t>
  </si>
  <si>
    <t>robot_example2</t>
  </si>
  <si>
    <t>test_tag2</t>
  </si>
  <si>
    <t>No_nothin_22</t>
  </si>
  <si>
    <t>dialogue.intro_example_12</t>
  </si>
  <si>
    <t>dialogue.url_test2</t>
  </si>
  <si>
    <t>dialogue.No_nothin_12</t>
  </si>
  <si>
    <t>dialogue.test_example_12</t>
  </si>
  <si>
    <t>dialogue.robot_example2</t>
  </si>
  <si>
    <t>dialogue.test_tag2</t>
  </si>
  <si>
    <t>dialogue.No_nothin_22</t>
  </si>
  <si>
    <t>intro_math</t>
  </si>
  <si>
    <t>Math_Instructor</t>
  </si>
  <si>
    <t>Info_Computer</t>
  </si>
  <si>
    <t>info_square</t>
  </si>
  <si>
    <t>F: HELP</t>
  </si>
  <si>
    <t>"/dialogue open @Info_Computer @initiator info_square"</t>
  </si>
  <si>
    <t>A</t>
  </si>
  <si>
    <t>B</t>
  </si>
  <si>
    <t>C</t>
  </si>
  <si>
    <t>D</t>
  </si>
  <si>
    <t>E</t>
  </si>
  <si>
    <t>"/tag @initiator started",
"/scoreboard objectives add square dummy square",
"/scoreboard objectives add math dummy math",
"/scoreboard players add @a square 0",
"/scoreboard players add @a math 0",
"/scoreboard objectives setdisplay list math descending"</t>
  </si>
  <si>
    <t>"/scoreboard players add @initiator square -5",
"/dialogue open @Info_Computer @initiator info_square_joke"</t>
  </si>
  <si>
    <t>info_square_joke</t>
  </si>
  <si>
    <t>math_square</t>
  </si>
  <si>
    <t>What is a square?
A: An old guy who tells bad jokes like my dad.
B: Any shape where all it's sides are the same length.
C: Any shape where all it's corners are the same.
D: A shape with 4 equal Sides and 4 equal corners.
E: A shape with four perpendicular or 90 degree corners.
F: HELP I need the Info_Computer</t>
  </si>
  <si>
    <t>A: Start Challenge</t>
  </si>
  <si>
    <t>"/dialogue open @Math_Instructor @initiator math_square"</t>
  </si>
  <si>
    <t>"/dialogue open @Info_Computer @initiator info_general"</t>
  </si>
  <si>
    <t>info_general</t>
  </si>
  <si>
    <t>Go Back</t>
  </si>
  <si>
    <t>/dialogue open @Math_Instructor @initiator intro_math</t>
  </si>
  <si>
    <t xml:space="preserve">This challenge will quiz your knowledge of geometry, area, volume, and your ability to allot your available resources to achieve the greatest possible outcome.  If you need assistance with Minecraft specific tips you can check with the Info_Computer to help you in those areas (stuff like how many are in a stack or crafting specific information.) 
The Questions will generally be Multiple Choice, you will choose the button that corresponds to what you want to choose.  Buttons will be labeled A-F and there will be info for each listed like this.
A: Button to press to start the challenge
B: Some other button you could press
C: Some description of something that could correspond to the right answer, or not.
D: Another Choice
E: And Another Choice
F: Help I don't know what to do (this will take you to the Info_Computer)
Choose wisely since you earn points for right answers and you can loose points for goofing off
Get ready for your first Challenge.  </t>
  </si>
  <si>
    <t>/dialogue open @Math_Instructor @initiator math_square</t>
  </si>
  <si>
    <t>"/scoreboard players add @initiator square 100",</t>
  </si>
  <si>
    <t>"/scoreboard players add @initiator square -5",
"/dialogue open @Info_Computer @initiator info_square"</t>
  </si>
  <si>
    <t>square-perimeter</t>
  </si>
  <si>
    <t>square-area</t>
  </si>
  <si>
    <t>info_square_perimeter</t>
  </si>
  <si>
    <t>info_square_area</t>
  </si>
  <si>
    <t>square_side</t>
  </si>
  <si>
    <t>Build Area</t>
  </si>
  <si>
    <t>If you have 4 blocks and you arrange them in a square.  What is the length of one side of the square?
Answer with the correct number on the button
OR
Build Area will take you to a place where you can use some blocks to test out your answer.
OR
F: HELP will open a dialogue with some additional information.</t>
  </si>
  <si>
    <t>OR</t>
  </si>
  <si>
    <t>Build Area will take you to a place where you can use some blocks to test out your answer.</t>
  </si>
  <si>
    <t>F: HELP will open a dialogue with some additional information.</t>
  </si>
  <si>
    <t>If you have 4 blocks and you arrange them in a square.  What is the perimeter of that square?
Answer with the correct number on the button
OR
Build Area will take you to a place where you can use some blocks to test out your answer.
OR
F: HELP will open a dialogue with some additional information.</t>
  </si>
  <si>
    <t>If you have 4 blocks and you arrange them in a square.  What is the area of that square?
Answer with the correct number on the button
OR
Build Area will take you to a place where you can use some blocks to test out your answer.
OR
F: HELP will open a dialogue with some additional information.</t>
  </si>
  <si>
    <t>NPC Tool 1.1.39</t>
  </si>
  <si>
    <t>I have created a user defined Function OpenDialogue for this tool for use in the command fields.  It is designed to help give you the right command to open a particular scene.  It takes two values NPC name and scene tag just select the appropriate cell for each and it will create the command for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</si>
</sst>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2"/>
      <color rgb="FFDBDEE1"/>
      <name val="Noto Sans"/>
      <family val="2"/>
      <charset val="1"/>
    </font>
    <font>
      <sz val="8"/>
      <name val="Calibri"/>
      <family val="2"/>
      <scheme val="minor"/>
    </font>
    <font>
      <sz val="11"/>
      <color rgb="FF000000"/>
      <name val="Calibri"/>
      <family val="2"/>
    </font>
    <font>
      <sz val="11"/>
      <color theme="0"/>
      <name val="Calibri"/>
      <family val="2"/>
      <scheme val="minor"/>
    </font>
    <font>
      <sz val="11"/>
      <name val="Calibri"/>
      <family val="2"/>
      <scheme val="minor"/>
    </font>
    <font>
      <b/>
      <sz val="11"/>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23">
    <xf numFmtId="0" fontId="0" fillId="0" borderId="0" xfId="0"/>
    <xf numFmtId="49" fontId="4" fillId="3" borderId="0" xfId="0" applyNumberFormat="1" applyFont="1" applyFill="1"/>
    <xf numFmtId="49" fontId="0" fillId="0" borderId="0" xfId="0" applyNumberFormat="1"/>
    <xf numFmtId="49" fontId="0" fillId="4" borderId="0" xfId="0" applyNumberFormat="1" applyFill="1"/>
    <xf numFmtId="49" fontId="5" fillId="4" borderId="0" xfId="0" applyNumberFormat="1" applyFont="1" applyFill="1"/>
    <xf numFmtId="49" fontId="4" fillId="2" borderId="0" xfId="0" applyNumberFormat="1" applyFont="1" applyFill="1"/>
    <xf numFmtId="49" fontId="4" fillId="6" borderId="0" xfId="0" applyNumberFormat="1" applyFont="1" applyFill="1"/>
    <xf numFmtId="49" fontId="0" fillId="6" borderId="0" xfId="0" applyNumberFormat="1" applyFill="1"/>
    <xf numFmtId="49" fontId="0" fillId="0" borderId="0" xfId="0" applyNumberFormat="1" applyAlignment="1">
      <alignment wrapText="1"/>
    </xf>
    <xf numFmtId="49" fontId="0" fillId="5" borderId="0" xfId="0" applyNumberFormat="1" applyFill="1"/>
    <xf numFmtId="49" fontId="1" fillId="0" borderId="0" xfId="0" applyNumberFormat="1" applyFont="1"/>
    <xf numFmtId="49" fontId="0" fillId="0" borderId="0" xfId="0" applyNumberFormat="1" applyAlignment="1">
      <alignment horizontal="left" vertical="top" wrapText="1"/>
    </xf>
    <xf numFmtId="49" fontId="7" fillId="0" borderId="0" xfId="1" applyNumberFormat="1" applyAlignment="1">
      <alignment horizontal="left" vertical="top" wrapText="1"/>
    </xf>
    <xf numFmtId="49" fontId="4" fillId="3" borderId="0" xfId="0" applyNumberFormat="1" applyFont="1" applyFill="1" applyAlignment="1">
      <alignment vertical="center" wrapText="1"/>
    </xf>
    <xf numFmtId="49" fontId="0" fillId="5" borderId="0" xfId="0" applyNumberFormat="1" applyFill="1" applyAlignment="1">
      <alignment vertical="center" wrapText="1"/>
    </xf>
    <xf numFmtId="49" fontId="0" fillId="0" borderId="0" xfId="0" applyNumberFormat="1" applyAlignment="1">
      <alignment vertical="center" wrapText="1"/>
    </xf>
    <xf numFmtId="49" fontId="0" fillId="4" borderId="0" xfId="0" applyNumberFormat="1" applyFill="1" applyAlignment="1">
      <alignment vertical="center" wrapText="1"/>
    </xf>
    <xf numFmtId="49" fontId="4" fillId="2" borderId="0" xfId="0" applyNumberFormat="1" applyFont="1" applyFill="1" applyAlignment="1">
      <alignment vertical="center" wrapText="1"/>
    </xf>
    <xf numFmtId="49" fontId="0" fillId="2" borderId="0" xfId="0" applyNumberFormat="1" applyFill="1" applyAlignment="1">
      <alignment vertical="center" wrapText="1"/>
    </xf>
    <xf numFmtId="49" fontId="0" fillId="6" borderId="0" xfId="0" applyNumberFormat="1" applyFill="1" applyAlignment="1">
      <alignment vertical="center" wrapText="1"/>
    </xf>
    <xf numFmtId="49" fontId="5" fillId="4" borderId="0" xfId="0" applyNumberFormat="1" applyFont="1" applyFill="1" applyAlignment="1">
      <alignment vertical="center" wrapText="1"/>
    </xf>
    <xf numFmtId="49" fontId="7" fillId="0" borderId="0" xfId="1" applyNumberFormat="1" applyAlignment="1">
      <alignment vertical="center" wrapText="1"/>
    </xf>
    <xf numFmtId="49" fontId="0" fillId="0" borderId="0" xfId="0" applyNumberFormat="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8</xdr:row>
          <xdr:rowOff>47625</xdr:rowOff>
        </xdr:from>
        <xdr:to>
          <xdr:col>0</xdr:col>
          <xdr:colOff>1952625</xdr:colOff>
          <xdr:row>8</xdr:row>
          <xdr:rowOff>285750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to NPCTool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learn.microsoft.com/en-us/minecraft/creator/documents/npcdialogue" TargetMode="External"/><Relationship Id="rId7" Type="http://schemas.openxmlformats.org/officeDocument/2006/relationships/ctrlProp" Target="../ctrlProps/ctrlProp1.xml"/><Relationship Id="rId2" Type="http://schemas.openxmlformats.org/officeDocument/2006/relationships/hyperlink" Target="https://discord.gg/7fSQBdx" TargetMode="External"/><Relationship Id="rId1" Type="http://schemas.openxmlformats.org/officeDocument/2006/relationships/hyperlink" Target="https://discord.com/channels/412297987210084353/1126162935094464522"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learn.microsoft.com/en-us/minecraft/creator/documents/preparingrawtextforlocalization"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36BD1-F30D-4BB3-B261-AEAE94066F7B}">
  <sheetPr codeName="Sheet4"/>
  <dimension ref="A1:A22"/>
  <sheetViews>
    <sheetView tabSelected="1" topLeftCell="A11" workbookViewId="0">
      <selection activeCell="A17" sqref="A17"/>
    </sheetView>
  </sheetViews>
  <sheetFormatPr defaultColWidth="8.85546875" defaultRowHeight="15" x14ac:dyDescent="0.25"/>
  <cols>
    <col min="1" max="1" width="152.140625" style="11" customWidth="1"/>
    <col min="2" max="16384" width="8.85546875" style="2"/>
  </cols>
  <sheetData>
    <row r="1" spans="1:1" x14ac:dyDescent="0.25">
      <c r="A1" s="11" t="s">
        <v>256</v>
      </c>
    </row>
    <row r="2" spans="1:1" x14ac:dyDescent="0.25">
      <c r="A2" s="11" t="s">
        <v>71</v>
      </c>
    </row>
    <row r="3" spans="1:1" ht="22.5" customHeight="1" x14ac:dyDescent="0.25">
      <c r="A3" s="11" t="s">
        <v>108</v>
      </c>
    </row>
    <row r="4" spans="1:1" ht="23.25" customHeight="1" x14ac:dyDescent="0.25">
      <c r="A4" s="11" t="s">
        <v>66</v>
      </c>
    </row>
    <row r="5" spans="1:1" ht="21" customHeight="1" x14ac:dyDescent="0.25">
      <c r="A5" s="11" t="s">
        <v>68</v>
      </c>
    </row>
    <row r="6" spans="1:1" ht="21" customHeight="1" x14ac:dyDescent="0.25">
      <c r="A6" s="12" t="s">
        <v>67</v>
      </c>
    </row>
    <row r="7" spans="1:1" ht="18.75" customHeight="1" x14ac:dyDescent="0.25">
      <c r="A7" s="11" t="s">
        <v>70</v>
      </c>
    </row>
    <row r="8" spans="1:1" ht="20.25" customHeight="1" x14ac:dyDescent="0.25">
      <c r="A8" s="12" t="s">
        <v>69</v>
      </c>
    </row>
    <row r="9" spans="1:1" ht="28.5" customHeight="1" x14ac:dyDescent="0.25">
      <c r="A9" s="12"/>
    </row>
    <row r="10" spans="1:1" ht="66.75" customHeight="1" x14ac:dyDescent="0.25">
      <c r="A10" s="11" t="s">
        <v>72</v>
      </c>
    </row>
    <row r="11" spans="1:1" ht="66.75" customHeight="1" x14ac:dyDescent="0.25">
      <c r="A11" s="11" t="s">
        <v>73</v>
      </c>
    </row>
    <row r="12" spans="1:1" ht="36.75" customHeight="1" x14ac:dyDescent="0.25">
      <c r="A12" s="11" t="s">
        <v>65</v>
      </c>
    </row>
    <row r="13" spans="1:1" ht="25.5" customHeight="1" x14ac:dyDescent="0.25">
      <c r="A13" s="11" t="s">
        <v>63</v>
      </c>
    </row>
    <row r="14" spans="1:1" ht="21" customHeight="1" x14ac:dyDescent="0.25">
      <c r="A14" s="11" t="s">
        <v>64</v>
      </c>
    </row>
    <row r="15" spans="1:1" ht="38.25" customHeight="1" x14ac:dyDescent="0.25">
      <c r="A15" s="11" t="s">
        <v>115</v>
      </c>
    </row>
    <row r="16" spans="1:1" ht="45.75" customHeight="1" x14ac:dyDescent="0.25">
      <c r="A16" s="11" t="s">
        <v>114</v>
      </c>
    </row>
    <row r="17" spans="1:1" ht="45.75" customHeight="1" x14ac:dyDescent="0.25">
      <c r="A17" s="11" t="s">
        <v>257</v>
      </c>
    </row>
    <row r="18" spans="1:1" ht="18.75" customHeight="1" x14ac:dyDescent="0.25">
      <c r="A18" s="11" t="s">
        <v>60</v>
      </c>
    </row>
    <row r="19" spans="1:1" ht="34.5" customHeight="1" x14ac:dyDescent="0.25">
      <c r="A19" s="11" t="s">
        <v>61</v>
      </c>
    </row>
    <row r="20" spans="1:1" ht="75" x14ac:dyDescent="0.25">
      <c r="A20" s="11" t="s">
        <v>62</v>
      </c>
    </row>
    <row r="21" spans="1:1" ht="28.5" customHeight="1" x14ac:dyDescent="0.25">
      <c r="A21" s="11" t="s">
        <v>158</v>
      </c>
    </row>
    <row r="22" spans="1:1" x14ac:dyDescent="0.25">
      <c r="A22" s="12" t="s">
        <v>157</v>
      </c>
    </row>
  </sheetData>
  <hyperlinks>
    <hyperlink ref="A6" r:id="rId1" xr:uid="{DACA9B68-B3C9-4F41-85DA-7959A449BD6A}"/>
    <hyperlink ref="A8" r:id="rId2" xr:uid="{06D28CF2-5214-4F05-892F-9D279137C479}"/>
    <hyperlink ref="A22" r:id="rId3" xr:uid="{D3B87328-4B3B-4F05-B880-69EF445B36D4}"/>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097" r:id="rId7" name="Button 1">
              <controlPr defaultSize="0" print="0" autoFill="0" autoPict="0" macro="[0]!SaveFileToTemplateFolder">
                <anchor moveWithCells="1" sizeWithCells="1">
                  <from>
                    <xdr:col>0</xdr:col>
                    <xdr:colOff>85725</xdr:colOff>
                    <xdr:row>8</xdr:row>
                    <xdr:rowOff>47625</xdr:rowOff>
                  </from>
                  <to>
                    <xdr:col>0</xdr:col>
                    <xdr:colOff>1952625</xdr:colOff>
                    <xdr:row>8</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1F87B-13B4-4688-8A52-A5604E79700C}">
  <sheetPr codeName="Sheet6"/>
  <dimension ref="A1:AP5"/>
  <sheetViews>
    <sheetView workbookViewId="0"/>
  </sheetViews>
  <sheetFormatPr defaultColWidth="9.140625" defaultRowHeight="15" x14ac:dyDescent="0.25"/>
  <cols>
    <col min="1" max="1" width="32.7109375" style="15" customWidth="1"/>
    <col min="2" max="2" width="31.5703125" style="15" customWidth="1"/>
    <col min="3" max="3" width="27" style="15" customWidth="1"/>
    <col min="4" max="4" width="28.85546875" style="15" customWidth="1"/>
    <col min="5" max="6" width="25.7109375" style="15" customWidth="1"/>
    <col min="7" max="7" width="27.5703125" style="15" customWidth="1"/>
    <col min="8" max="8" width="27.28515625" style="15" customWidth="1"/>
    <col min="9" max="9" width="27.85546875" style="15" customWidth="1"/>
    <col min="10" max="17" width="25.7109375" style="15" customWidth="1"/>
    <col min="18" max="18" width="16.85546875" style="15" customWidth="1"/>
    <col min="19" max="19" width="18.140625" style="15" customWidth="1"/>
    <col min="20" max="20" width="20.5703125" style="15" customWidth="1"/>
    <col min="21" max="21" width="21" style="15" customWidth="1"/>
    <col min="22" max="22" width="20.42578125" style="15" customWidth="1"/>
    <col min="23" max="34" width="25.7109375" style="15" customWidth="1"/>
    <col min="35" max="35" width="22.140625" style="15" customWidth="1"/>
    <col min="36" max="36" width="15.85546875" style="15" customWidth="1"/>
    <col min="37" max="37" width="20.7109375" style="15" customWidth="1"/>
    <col min="38" max="38" width="20.42578125" style="15" customWidth="1"/>
    <col min="39" max="39" width="19" style="15" customWidth="1"/>
    <col min="40" max="40" width="20.140625" style="15" customWidth="1"/>
    <col min="41" max="42" width="19.5703125" style="15" customWidth="1"/>
    <col min="43" max="16384" width="9.140625" style="15"/>
  </cols>
  <sheetData>
    <row r="1" spans="1:42" ht="47.25" customHeight="1" x14ac:dyDescent="0.25">
      <c r="A1" s="13" t="s">
        <v>126</v>
      </c>
      <c r="B1" s="14" t="s">
        <v>172</v>
      </c>
      <c r="C1" s="15" t="s">
        <v>127</v>
      </c>
      <c r="D1" s="16" t="s">
        <v>128</v>
      </c>
      <c r="E1" s="16" t="s">
        <v>128</v>
      </c>
      <c r="G1" s="16"/>
      <c r="I1" s="16"/>
      <c r="K1" s="16"/>
      <c r="M1" s="16"/>
      <c r="O1" s="16"/>
      <c r="Q1" s="16"/>
      <c r="R1" s="13"/>
      <c r="S1" s="17" t="s">
        <v>131</v>
      </c>
      <c r="T1" s="18"/>
      <c r="U1" s="18"/>
      <c r="V1" s="18"/>
      <c r="W1" s="18"/>
      <c r="X1" s="18"/>
      <c r="Y1" s="18"/>
      <c r="Z1" s="18"/>
      <c r="AA1" s="18"/>
      <c r="AB1" s="18"/>
      <c r="AC1" s="18"/>
      <c r="AD1" s="18"/>
      <c r="AE1" s="18"/>
      <c r="AF1" s="18"/>
      <c r="AG1" s="18"/>
      <c r="AH1" s="18"/>
      <c r="AI1" s="19" t="s">
        <v>144</v>
      </c>
      <c r="AJ1" s="19" t="s">
        <v>168</v>
      </c>
      <c r="AK1" s="19" t="s">
        <v>169</v>
      </c>
      <c r="AL1" s="19" t="s">
        <v>170</v>
      </c>
      <c r="AM1" s="19"/>
      <c r="AN1" s="19"/>
      <c r="AO1" s="19"/>
      <c r="AP1" s="19"/>
    </row>
    <row r="2" spans="1:42" ht="30" x14ac:dyDescent="0.25">
      <c r="A2" s="13" t="s">
        <v>0</v>
      </c>
      <c r="B2" s="14" t="s">
        <v>1</v>
      </c>
      <c r="C2" s="15" t="s">
        <v>2</v>
      </c>
      <c r="D2" s="16" t="s">
        <v>16</v>
      </c>
      <c r="E2" s="16" t="s">
        <v>15</v>
      </c>
      <c r="F2" s="15" t="s">
        <v>3</v>
      </c>
      <c r="G2" s="16" t="s">
        <v>9</v>
      </c>
      <c r="H2" s="15" t="s">
        <v>4</v>
      </c>
      <c r="I2" s="16" t="s">
        <v>10</v>
      </c>
      <c r="J2" s="15" t="s">
        <v>5</v>
      </c>
      <c r="K2" s="16" t="s">
        <v>11</v>
      </c>
      <c r="L2" s="15" t="s">
        <v>6</v>
      </c>
      <c r="M2" s="16" t="s">
        <v>12</v>
      </c>
      <c r="N2" s="15" t="s">
        <v>7</v>
      </c>
      <c r="O2" s="16" t="s">
        <v>13</v>
      </c>
      <c r="P2" s="15" t="s">
        <v>8</v>
      </c>
      <c r="Q2" s="20" t="s">
        <v>14</v>
      </c>
      <c r="R2" s="13" t="s">
        <v>18</v>
      </c>
      <c r="S2" s="17" t="s">
        <v>17</v>
      </c>
      <c r="T2" s="17" t="s">
        <v>19</v>
      </c>
      <c r="U2" s="17" t="s">
        <v>20</v>
      </c>
      <c r="V2" s="17" t="s">
        <v>21</v>
      </c>
      <c r="W2" s="17" t="s">
        <v>22</v>
      </c>
      <c r="X2" s="17" t="s">
        <v>23</v>
      </c>
      <c r="Y2" s="17" t="s">
        <v>24</v>
      </c>
      <c r="Z2" s="17" t="s">
        <v>31</v>
      </c>
      <c r="AA2" s="17" t="s">
        <v>54</v>
      </c>
      <c r="AB2" s="17" t="s">
        <v>55</v>
      </c>
      <c r="AC2" s="17" t="s">
        <v>56</v>
      </c>
      <c r="AD2" s="17" t="s">
        <v>57</v>
      </c>
      <c r="AE2" s="17" t="s">
        <v>58</v>
      </c>
      <c r="AF2" s="17" t="s">
        <v>59</v>
      </c>
      <c r="AG2" s="17" t="s">
        <v>155</v>
      </c>
      <c r="AH2" s="17" t="s">
        <v>154</v>
      </c>
      <c r="AI2" s="19" t="s">
        <v>156</v>
      </c>
      <c r="AJ2" s="19" t="s">
        <v>145</v>
      </c>
      <c r="AK2" s="19" t="s">
        <v>146</v>
      </c>
      <c r="AL2" s="19" t="s">
        <v>147</v>
      </c>
      <c r="AM2" s="19" t="s">
        <v>148</v>
      </c>
      <c r="AN2" s="19" t="s">
        <v>149</v>
      </c>
      <c r="AO2" s="19" t="s">
        <v>150</v>
      </c>
      <c r="AP2" s="19" t="s">
        <v>151</v>
      </c>
    </row>
    <row r="3" spans="1:42" ht="90" x14ac:dyDescent="0.25">
      <c r="A3" s="15" t="s">
        <v>116</v>
      </c>
      <c r="B3" s="15" t="s">
        <v>171</v>
      </c>
      <c r="C3" s="15" t="s">
        <v>117</v>
      </c>
      <c r="D3" s="15" t="s">
        <v>118</v>
      </c>
      <c r="E3" s="15" t="s">
        <v>119</v>
      </c>
      <c r="F3" s="15" t="s">
        <v>138</v>
      </c>
      <c r="G3" s="15" t="s">
        <v>120</v>
      </c>
      <c r="H3" s="15" t="s">
        <v>139</v>
      </c>
      <c r="I3" s="15" t="s">
        <v>121</v>
      </c>
      <c r="J3" s="15" t="s">
        <v>140</v>
      </c>
      <c r="K3" s="15" t="s">
        <v>122</v>
      </c>
      <c r="L3" s="15" t="s">
        <v>141</v>
      </c>
      <c r="M3" s="15" t="s">
        <v>123</v>
      </c>
      <c r="N3" s="15" t="s">
        <v>142</v>
      </c>
      <c r="O3" s="15" t="s">
        <v>124</v>
      </c>
      <c r="P3" s="15" t="s">
        <v>143</v>
      </c>
      <c r="Q3" s="15" t="s">
        <v>125</v>
      </c>
      <c r="Z3" s="15" t="s">
        <v>137</v>
      </c>
      <c r="AJ3" s="15" t="s">
        <v>153</v>
      </c>
      <c r="AK3" s="21" t="s">
        <v>152</v>
      </c>
    </row>
    <row r="4" spans="1:42" ht="90" x14ac:dyDescent="0.25">
      <c r="A4" s="15" t="s">
        <v>159</v>
      </c>
      <c r="B4" s="15" t="s">
        <v>134</v>
      </c>
      <c r="C4" s="15" t="s">
        <v>136</v>
      </c>
      <c r="D4" s="15" t="s">
        <v>133</v>
      </c>
      <c r="E4" s="15" t="s">
        <v>132</v>
      </c>
      <c r="F4" s="22" t="s">
        <v>135</v>
      </c>
      <c r="G4" s="22"/>
      <c r="H4" s="15" t="s">
        <v>129</v>
      </c>
      <c r="I4" s="15" t="s">
        <v>130</v>
      </c>
    </row>
    <row r="5" spans="1:42" ht="52.5" customHeight="1" x14ac:dyDescent="0.25">
      <c r="B5" s="15" t="s">
        <v>160</v>
      </c>
      <c r="C5" s="15" t="s">
        <v>161</v>
      </c>
      <c r="F5" s="15" t="s">
        <v>162</v>
      </c>
      <c r="H5" s="15" t="s">
        <v>163</v>
      </c>
      <c r="J5" s="15" t="s">
        <v>164</v>
      </c>
      <c r="L5" s="15" t="s">
        <v>165</v>
      </c>
      <c r="N5" s="15" t="s">
        <v>166</v>
      </c>
      <c r="P5" s="15" t="s">
        <v>167</v>
      </c>
    </row>
  </sheetData>
  <mergeCells count="1">
    <mergeCell ref="F4:G4"/>
  </mergeCells>
  <phoneticPr fontId="2" type="noConversion"/>
  <hyperlinks>
    <hyperlink ref="AK3" r:id="rId1" xr:uid="{2397BAE8-AEB2-41EC-8D2C-6EDC3E693A5A}"/>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2A211-6055-420F-BDF7-F37F81F96FE4}">
  <sheetPr codeName="Sheet1"/>
  <dimension ref="A1:AP5"/>
  <sheetViews>
    <sheetView showFormulas="1" workbookViewId="0">
      <pane ySplit="1" topLeftCell="A2" activePane="bottomLeft" state="frozen"/>
      <selection activeCell="A15" sqref="A1:XFD1048576"/>
      <selection pane="bottomLeft" activeCell="A15" sqref="A1:XFD1048576"/>
    </sheetView>
  </sheetViews>
  <sheetFormatPr defaultColWidth="8.85546875" defaultRowHeight="15" x14ac:dyDescent="0.25"/>
  <cols>
    <col min="1" max="1" width="10.85546875" style="2" customWidth="1"/>
    <col min="2" max="2" width="11.5703125" style="2" customWidth="1"/>
    <col min="3" max="3" width="10.140625" style="2" bestFit="1" customWidth="1"/>
    <col min="4" max="4" width="25" style="2" customWidth="1"/>
    <col min="5" max="5" width="32.28515625" style="2" customWidth="1"/>
    <col min="6" max="6" width="27.85546875" style="2" customWidth="1"/>
    <col min="7" max="7" width="19.7109375" style="2" customWidth="1"/>
    <col min="8" max="8" width="20.140625" style="2" bestFit="1" customWidth="1"/>
    <col min="9" max="9" width="15.140625" style="2" bestFit="1" customWidth="1"/>
    <col min="10" max="10" width="25.28515625" style="2" customWidth="1"/>
    <col min="11" max="11" width="22.28515625" style="2" customWidth="1"/>
    <col min="12" max="12" width="15.140625" style="2" bestFit="1" customWidth="1"/>
    <col min="13" max="13" width="20.42578125" style="2" bestFit="1" customWidth="1"/>
    <col min="14" max="14" width="19.85546875" style="2" bestFit="1" customWidth="1"/>
    <col min="15" max="15" width="15.140625" style="2" customWidth="1"/>
    <col min="16" max="16" width="20" style="2" bestFit="1" customWidth="1"/>
    <col min="17" max="17" width="19.85546875" style="2" bestFit="1" customWidth="1"/>
    <col min="18" max="18" width="4.85546875" style="2" customWidth="1"/>
    <col min="19" max="19" width="20" style="2" bestFit="1" customWidth="1"/>
    <col min="20" max="20" width="19.85546875" style="2" bestFit="1" customWidth="1"/>
    <col min="21" max="21" width="15.140625" style="2" bestFit="1" customWidth="1"/>
    <col min="22" max="22" width="20" style="2" bestFit="1" customWidth="1"/>
    <col min="23" max="23" width="15.42578125" style="2" customWidth="1"/>
    <col min="24" max="24" width="15.140625" style="2" bestFit="1" customWidth="1"/>
    <col min="25" max="25" width="20" style="2" bestFit="1" customWidth="1"/>
    <col min="26" max="26" width="38.85546875" style="2" customWidth="1"/>
    <col min="27" max="27" width="20.7109375" style="2" customWidth="1"/>
    <col min="28" max="34" width="8.85546875" style="2"/>
    <col min="35" max="35" width="10.140625" style="2" customWidth="1"/>
    <col min="36" max="36" width="9.140625" style="2" customWidth="1"/>
    <col min="37" max="38" width="9.85546875" style="2" customWidth="1"/>
    <col min="39" max="39" width="10.140625" style="2" customWidth="1"/>
    <col min="40" max="40" width="10.28515625" style="2" customWidth="1"/>
    <col min="41" max="41" width="10.140625" style="2" customWidth="1"/>
    <col min="42" max="42" width="10.28515625" style="2" customWidth="1"/>
    <col min="43" max="16384" width="8.85546875" style="2"/>
  </cols>
  <sheetData>
    <row r="1" spans="1:42" ht="44.25" customHeight="1" x14ac:dyDescent="0.25">
      <c r="A1" s="1" t="s">
        <v>0</v>
      </c>
      <c r="B1" s="1" t="s">
        <v>1</v>
      </c>
      <c r="C1" s="2" t="s">
        <v>2</v>
      </c>
      <c r="D1" s="3" t="s">
        <v>16</v>
      </c>
      <c r="E1" s="3" t="s">
        <v>15</v>
      </c>
      <c r="F1" s="2" t="s">
        <v>3</v>
      </c>
      <c r="G1" s="3" t="s">
        <v>9</v>
      </c>
      <c r="H1" s="2" t="s">
        <v>4</v>
      </c>
      <c r="I1" s="3" t="s">
        <v>10</v>
      </c>
      <c r="J1" s="2" t="s">
        <v>5</v>
      </c>
      <c r="K1" s="3" t="s">
        <v>11</v>
      </c>
      <c r="L1" s="2" t="s">
        <v>6</v>
      </c>
      <c r="M1" s="3" t="s">
        <v>12</v>
      </c>
      <c r="N1" s="2" t="s">
        <v>7</v>
      </c>
      <c r="O1" s="3" t="s">
        <v>13</v>
      </c>
      <c r="P1" s="2" t="s">
        <v>8</v>
      </c>
      <c r="Q1" s="4" t="s">
        <v>14</v>
      </c>
      <c r="R1" s="2" t="s">
        <v>18</v>
      </c>
      <c r="S1" s="5" t="s">
        <v>17</v>
      </c>
      <c r="T1" s="5" t="s">
        <v>19</v>
      </c>
      <c r="U1" s="5" t="s">
        <v>20</v>
      </c>
      <c r="V1" s="5" t="s">
        <v>21</v>
      </c>
      <c r="W1" s="5" t="s">
        <v>22</v>
      </c>
      <c r="X1" s="5" t="s">
        <v>23</v>
      </c>
      <c r="Y1" s="5" t="s">
        <v>24</v>
      </c>
      <c r="Z1" s="5" t="s">
        <v>31</v>
      </c>
      <c r="AA1" s="5" t="s">
        <v>54</v>
      </c>
      <c r="AB1" s="5" t="s">
        <v>55</v>
      </c>
      <c r="AC1" s="5" t="s">
        <v>56</v>
      </c>
      <c r="AD1" s="5" t="s">
        <v>57</v>
      </c>
      <c r="AE1" s="5" t="s">
        <v>58</v>
      </c>
      <c r="AF1" s="5" t="s">
        <v>59</v>
      </c>
      <c r="AG1" s="5" t="s">
        <v>155</v>
      </c>
      <c r="AH1" s="5" t="s">
        <v>154</v>
      </c>
      <c r="AI1" s="6" t="s">
        <v>156</v>
      </c>
      <c r="AJ1" s="7" t="s">
        <v>145</v>
      </c>
      <c r="AK1" s="7" t="s">
        <v>146</v>
      </c>
      <c r="AL1" s="7" t="s">
        <v>147</v>
      </c>
      <c r="AM1" s="7" t="s">
        <v>148</v>
      </c>
      <c r="AN1" s="7" t="s">
        <v>149</v>
      </c>
      <c r="AO1" s="7" t="s">
        <v>150</v>
      </c>
      <c r="AP1" s="7" t="s">
        <v>151</v>
      </c>
    </row>
    <row r="2" spans="1:42" x14ac:dyDescent="0.25">
      <c r="A2" s="2" t="s">
        <v>32</v>
      </c>
      <c r="B2" s="2" t="s">
        <v>33</v>
      </c>
      <c r="C2" s="2" t="s">
        <v>26</v>
      </c>
      <c r="D2" s="2" t="s">
        <v>30</v>
      </c>
      <c r="E2" s="2" t="s">
        <v>34</v>
      </c>
      <c r="F2" s="2" t="s">
        <v>27</v>
      </c>
      <c r="G2" s="2" t="s">
        <v>28</v>
      </c>
      <c r="H2" s="2" t="s">
        <v>35</v>
      </c>
      <c r="I2" s="2" t="s">
        <v>29</v>
      </c>
      <c r="R2" s="2" t="s">
        <v>25</v>
      </c>
    </row>
    <row r="3" spans="1:42" x14ac:dyDescent="0.25">
      <c r="A3" s="2" t="s">
        <v>36</v>
      </c>
      <c r="B3" s="2" t="s">
        <v>37</v>
      </c>
      <c r="C3" s="2" t="s">
        <v>38</v>
      </c>
      <c r="F3" s="2" t="s">
        <v>39</v>
      </c>
      <c r="G3" s="2" t="s">
        <v>40</v>
      </c>
      <c r="H3" s="2" t="s">
        <v>41</v>
      </c>
      <c r="I3" s="2" t="s">
        <v>42</v>
      </c>
    </row>
    <row r="4" spans="1:42" x14ac:dyDescent="0.25">
      <c r="A4" s="2" t="s">
        <v>43</v>
      </c>
      <c r="B4" s="2" t="s">
        <v>44</v>
      </c>
      <c r="C4" s="2" t="s">
        <v>45</v>
      </c>
      <c r="D4" s="2" t="s">
        <v>46</v>
      </c>
      <c r="E4" s="2" t="s">
        <v>47</v>
      </c>
      <c r="F4" s="2">
        <v>1</v>
      </c>
      <c r="G4" s="2" t="s">
        <v>48</v>
      </c>
      <c r="H4" s="2">
        <v>2</v>
      </c>
      <c r="I4" s="2" t="s">
        <v>49</v>
      </c>
      <c r="J4" s="2">
        <v>3</v>
      </c>
      <c r="K4" s="2" t="s">
        <v>53</v>
      </c>
      <c r="L4" s="2">
        <v>4</v>
      </c>
      <c r="M4" s="2" t="s">
        <v>50</v>
      </c>
      <c r="N4" s="2">
        <v>5</v>
      </c>
      <c r="O4" s="2" t="s">
        <v>51</v>
      </c>
      <c r="P4" s="2">
        <v>6</v>
      </c>
      <c r="Q4" s="2" t="s">
        <v>52</v>
      </c>
    </row>
    <row r="5" spans="1:42" ht="18" x14ac:dyDescent="0.35">
      <c r="D5" s="10"/>
      <c r="O5" s="10"/>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027" r:id="rId5" name="Button 3">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619D2-FDCD-4EA1-AF48-99C12C183E0A}">
  <sheetPr codeName="Sheet2"/>
  <dimension ref="A1:AP1"/>
  <sheetViews>
    <sheetView showFormulas="1" workbookViewId="0">
      <pane ySplit="1" topLeftCell="A2" activePane="bottomLeft" state="frozen"/>
      <selection activeCell="A15" sqref="A1:XFD1048576"/>
      <selection pane="bottomLeft" activeCell="A15" sqref="A1:XFD1048576"/>
    </sheetView>
  </sheetViews>
  <sheetFormatPr defaultColWidth="8.85546875" defaultRowHeight="15" x14ac:dyDescent="0.25"/>
  <cols>
    <col min="1" max="1" width="10.85546875" style="2" customWidth="1"/>
    <col min="2" max="2" width="11.5703125" style="2" customWidth="1"/>
    <col min="3" max="3" width="10.140625" style="2" bestFit="1" customWidth="1"/>
    <col min="4" max="4" width="25" style="2" customWidth="1"/>
    <col min="5" max="5" width="32.28515625" style="2" customWidth="1"/>
    <col min="6" max="6" width="27.85546875" style="2" customWidth="1"/>
    <col min="7" max="7" width="19.7109375" style="2" customWidth="1"/>
    <col min="8" max="8" width="20.140625" style="2" bestFit="1" customWidth="1"/>
    <col min="9" max="9" width="15.140625" style="2" bestFit="1" customWidth="1"/>
    <col min="10" max="10" width="25.28515625" style="2" customWidth="1"/>
    <col min="11" max="11" width="22.28515625" style="2" customWidth="1"/>
    <col min="12" max="12" width="15.140625" style="2" bestFit="1" customWidth="1"/>
    <col min="13" max="13" width="20.42578125" style="2" bestFit="1" customWidth="1"/>
    <col min="14" max="14" width="19.85546875" style="2" bestFit="1" customWidth="1"/>
    <col min="15" max="15" width="15.140625" style="2" customWidth="1"/>
    <col min="16" max="16" width="20" style="2" bestFit="1" customWidth="1"/>
    <col min="17" max="17" width="19.85546875" style="2" bestFit="1" customWidth="1"/>
    <col min="18" max="18" width="4.85546875" style="2" customWidth="1"/>
    <col min="19" max="19" width="20" style="2" bestFit="1" customWidth="1"/>
    <col min="20" max="20" width="19.85546875" style="2" bestFit="1" customWidth="1"/>
    <col min="21" max="21" width="15.140625" style="2" bestFit="1" customWidth="1"/>
    <col min="22" max="22" width="20" style="2" bestFit="1" customWidth="1"/>
    <col min="23" max="23" width="15.42578125" style="2" customWidth="1"/>
    <col min="24" max="24" width="15.140625" style="2" bestFit="1" customWidth="1"/>
    <col min="25" max="25" width="20" style="2" bestFit="1" customWidth="1"/>
    <col min="26" max="26" width="38.85546875" style="2" customWidth="1"/>
    <col min="27" max="27" width="20.7109375" style="2" customWidth="1"/>
    <col min="28" max="33" width="8.85546875" style="2"/>
    <col min="34" max="34" width="12.42578125" style="2" bestFit="1" customWidth="1"/>
    <col min="35" max="35" width="10.140625" style="2" customWidth="1"/>
    <col min="36" max="16384" width="8.85546875" style="2"/>
  </cols>
  <sheetData>
    <row r="1" spans="1:42" ht="44.25" customHeight="1" x14ac:dyDescent="0.25">
      <c r="A1" s="1" t="s">
        <v>0</v>
      </c>
      <c r="B1" s="1" t="s">
        <v>1</v>
      </c>
      <c r="C1" s="2" t="s">
        <v>2</v>
      </c>
      <c r="D1" s="3" t="s">
        <v>16</v>
      </c>
      <c r="E1" s="3" t="s">
        <v>15</v>
      </c>
      <c r="F1" s="2" t="s">
        <v>3</v>
      </c>
      <c r="G1" s="3" t="s">
        <v>9</v>
      </c>
      <c r="H1" s="2" t="s">
        <v>4</v>
      </c>
      <c r="I1" s="3" t="s">
        <v>10</v>
      </c>
      <c r="J1" s="2" t="s">
        <v>5</v>
      </c>
      <c r="K1" s="3" t="s">
        <v>11</v>
      </c>
      <c r="L1" s="2" t="s">
        <v>6</v>
      </c>
      <c r="M1" s="3" t="s">
        <v>12</v>
      </c>
      <c r="N1" s="2" t="s">
        <v>7</v>
      </c>
      <c r="O1" s="3" t="s">
        <v>13</v>
      </c>
      <c r="P1" s="2" t="s">
        <v>8</v>
      </c>
      <c r="Q1" s="4" t="s">
        <v>14</v>
      </c>
      <c r="R1" s="2" t="s">
        <v>18</v>
      </c>
      <c r="S1" s="5" t="s">
        <v>17</v>
      </c>
      <c r="T1" s="5" t="s">
        <v>19</v>
      </c>
      <c r="U1" s="5" t="s">
        <v>20</v>
      </c>
      <c r="V1" s="5" t="s">
        <v>21</v>
      </c>
      <c r="W1" s="5" t="s">
        <v>22</v>
      </c>
      <c r="X1" s="5" t="s">
        <v>23</v>
      </c>
      <c r="Y1" s="5" t="s">
        <v>24</v>
      </c>
      <c r="Z1" s="5" t="s">
        <v>31</v>
      </c>
      <c r="AA1" s="5" t="str">
        <f t="shared" ref="AA1:AF1" si="0">IF(LEN(F1)&lt;&gt;0,_xlfn.CONCAT("dialogue.button.",SUBSTITUTE( LOWER( TRIM( SUBSTITUTE( SUBSTITUTE( SUBSTITUTE( SUBSTITUTE( SUBSTITUTE( SUBSTITUTE( SUBSTITUTE( SUBSTITUTE( SUBSTITUTE( F1, "("," "), ")"," "), "-"," "), ":"," "), ";"," "), "!"," "), ","," "), "?"," "), "."," ")))," ","_")),"")</f>
        <v>dialogue.button.button_name_1</v>
      </c>
      <c r="AB1" s="5" t="str">
        <f t="shared" si="0"/>
        <v>dialogue.button.button_commands_1</v>
      </c>
      <c r="AC1" s="5" t="str">
        <f t="shared" si="0"/>
        <v>dialogue.button.button_name_2</v>
      </c>
      <c r="AD1" s="5" t="str">
        <f t="shared" si="0"/>
        <v>dialogue.button.button_commands_2</v>
      </c>
      <c r="AE1" s="5" t="str">
        <f t="shared" si="0"/>
        <v>dialogue.button.button_name_3</v>
      </c>
      <c r="AF1" s="5" t="str">
        <f t="shared" si="0"/>
        <v>dialogue.button.button_commands_3</v>
      </c>
      <c r="AG1" s="5" t="s">
        <v>155</v>
      </c>
      <c r="AH1" s="5" t="s">
        <v>154</v>
      </c>
      <c r="AI1" s="6" t="s">
        <v>156</v>
      </c>
      <c r="AJ1" s="7" t="s">
        <v>145</v>
      </c>
      <c r="AK1" s="7" t="s">
        <v>146</v>
      </c>
      <c r="AL1" s="7" t="s">
        <v>147</v>
      </c>
      <c r="AM1" s="7" t="s">
        <v>148</v>
      </c>
      <c r="AN1" s="7" t="s">
        <v>149</v>
      </c>
      <c r="AO1" s="7" t="s">
        <v>150</v>
      </c>
      <c r="AP1" s="7" t="s">
        <v>151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0"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1"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2"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3" r:id="rId8" name="Button 5">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4" r:id="rId9" name="Button 6">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5" r:id="rId10" name="Button 7">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6" r:id="rId11" name="Button 8">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7" r:id="rId12" name="Button 9">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8" r:id="rId13" name="Button 10">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9" r:id="rId14" name="Button 1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0" r:id="rId15" name="Button 1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1" r:id="rId16" name="Button 1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2" r:id="rId17" name="Button 1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3" r:id="rId18" name="Button 15">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4" r:id="rId19" name="Button 16">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17095-FF08-4575-B276-07E6C389F680}">
  <sheetPr codeName="Sheet3"/>
  <dimension ref="A1:AP13"/>
  <sheetViews>
    <sheetView workbookViewId="0">
      <pane ySplit="1" topLeftCell="A2" activePane="bottomLeft" state="frozen"/>
      <selection activeCell="A15" sqref="A1:XFD1048576"/>
      <selection pane="bottomLeft" activeCell="G5" sqref="G5"/>
    </sheetView>
  </sheetViews>
  <sheetFormatPr defaultColWidth="8.85546875" defaultRowHeight="15" x14ac:dyDescent="0.25"/>
  <cols>
    <col min="1" max="1" width="16.7109375" style="2" customWidth="1"/>
    <col min="2" max="2" width="11.5703125" style="2" customWidth="1"/>
    <col min="3" max="3" width="49.28515625" style="2" customWidth="1"/>
    <col min="4" max="4" width="9.85546875" style="2" customWidth="1"/>
    <col min="5" max="5" width="10.28515625" style="2" customWidth="1"/>
    <col min="6" max="6" width="27.85546875" style="2" customWidth="1"/>
    <col min="7" max="7" width="27" style="2" customWidth="1"/>
    <col min="8" max="8" width="20.140625" style="2" bestFit="1" customWidth="1"/>
    <col min="9" max="9" width="15.140625" style="2" bestFit="1" customWidth="1"/>
    <col min="10" max="10" width="25.28515625" style="2" customWidth="1"/>
    <col min="11" max="11" width="22.28515625" style="2" customWidth="1"/>
    <col min="12" max="12" width="15.140625" style="2" bestFit="1" customWidth="1"/>
    <col min="13" max="13" width="20.42578125" style="2" bestFit="1" customWidth="1"/>
    <col min="14" max="14" width="19.85546875" style="2" bestFit="1" customWidth="1"/>
    <col min="15" max="15" width="15.140625" style="2" customWidth="1"/>
    <col min="16" max="16" width="20" style="2" bestFit="1" customWidth="1"/>
    <col min="17" max="17" width="19.85546875" style="2" bestFit="1" customWidth="1"/>
    <col min="18" max="18" width="4.85546875" style="2" customWidth="1"/>
    <col min="19" max="19" width="20" style="2" bestFit="1" customWidth="1"/>
    <col min="20" max="20" width="19.85546875" style="2" bestFit="1" customWidth="1"/>
    <col min="21" max="21" width="15.140625" style="2" bestFit="1" customWidth="1"/>
    <col min="22" max="22" width="20" style="2" bestFit="1" customWidth="1"/>
    <col min="23" max="23" width="15.42578125" style="2" customWidth="1"/>
    <col min="24" max="24" width="15.140625" style="2" bestFit="1" customWidth="1"/>
    <col min="25" max="25" width="20" style="2" bestFit="1" customWidth="1"/>
    <col min="26" max="26" width="38.85546875" style="2" customWidth="1"/>
    <col min="27" max="27" width="20.7109375" style="2" customWidth="1"/>
    <col min="28" max="34" width="8.85546875" style="2"/>
    <col min="35" max="35" width="10.140625" style="2" customWidth="1"/>
    <col min="36" max="16384" width="8.85546875" style="2"/>
  </cols>
  <sheetData>
    <row r="1" spans="1:42" ht="44.25" customHeight="1" x14ac:dyDescent="0.25">
      <c r="A1" s="1" t="s">
        <v>0</v>
      </c>
      <c r="B1" s="1" t="s">
        <v>1</v>
      </c>
      <c r="C1" s="2" t="s">
        <v>2</v>
      </c>
      <c r="D1" s="3" t="s">
        <v>16</v>
      </c>
      <c r="E1" s="3" t="s">
        <v>15</v>
      </c>
      <c r="F1" s="2" t="s">
        <v>3</v>
      </c>
      <c r="G1" s="3" t="s">
        <v>9</v>
      </c>
      <c r="H1" s="2" t="s">
        <v>4</v>
      </c>
      <c r="I1" s="3" t="s">
        <v>10</v>
      </c>
      <c r="J1" s="2" t="s">
        <v>5</v>
      </c>
      <c r="K1" s="3" t="s">
        <v>11</v>
      </c>
      <c r="L1" s="2" t="s">
        <v>6</v>
      </c>
      <c r="M1" s="3" t="s">
        <v>12</v>
      </c>
      <c r="N1" s="2" t="s">
        <v>7</v>
      </c>
      <c r="O1" s="3" t="s">
        <v>13</v>
      </c>
      <c r="P1" s="2" t="s">
        <v>8</v>
      </c>
      <c r="Q1" s="4" t="s">
        <v>14</v>
      </c>
      <c r="R1" s="2" t="s">
        <v>18</v>
      </c>
      <c r="S1" s="5" t="s">
        <v>17</v>
      </c>
      <c r="T1" s="5" t="s">
        <v>19</v>
      </c>
      <c r="U1" s="5" t="s">
        <v>20</v>
      </c>
      <c r="V1" s="5" t="s">
        <v>21</v>
      </c>
      <c r="W1" s="5" t="s">
        <v>22</v>
      </c>
      <c r="X1" s="5" t="s">
        <v>23</v>
      </c>
      <c r="Y1" s="5" t="s">
        <v>24</v>
      </c>
      <c r="Z1" s="5" t="s">
        <v>31</v>
      </c>
      <c r="AA1" s="5" t="s">
        <v>54</v>
      </c>
      <c r="AB1" s="5" t="s">
        <v>55</v>
      </c>
      <c r="AC1" s="5" t="s">
        <v>56</v>
      </c>
      <c r="AD1" s="5" t="s">
        <v>57</v>
      </c>
      <c r="AE1" s="5" t="s">
        <v>58</v>
      </c>
      <c r="AF1" s="5" t="s">
        <v>59</v>
      </c>
      <c r="AG1" s="5" t="s">
        <v>155</v>
      </c>
      <c r="AH1" s="5" t="s">
        <v>154</v>
      </c>
      <c r="AI1" s="6" t="s">
        <v>156</v>
      </c>
      <c r="AJ1" s="7" t="s">
        <v>145</v>
      </c>
      <c r="AK1" s="7" t="s">
        <v>146</v>
      </c>
      <c r="AL1" s="7" t="s">
        <v>147</v>
      </c>
      <c r="AM1" s="7" t="s">
        <v>148</v>
      </c>
      <c r="AN1" s="7" t="s">
        <v>149</v>
      </c>
      <c r="AO1" s="7" t="s">
        <v>150</v>
      </c>
      <c r="AP1" s="7" t="s">
        <v>151</v>
      </c>
    </row>
    <row r="2" spans="1:42" ht="44.25" customHeight="1" x14ac:dyDescent="0.25">
      <c r="A2" s="2" t="s">
        <v>218</v>
      </c>
      <c r="B2" s="2" t="s">
        <v>219</v>
      </c>
      <c r="C2" s="8" t="s">
        <v>240</v>
      </c>
      <c r="D2" s="8" t="s">
        <v>229</v>
      </c>
      <c r="F2" s="2" t="s">
        <v>234</v>
      </c>
      <c r="G2" s="9" t="s">
        <v>235</v>
      </c>
      <c r="H2" s="2" t="s">
        <v>225</v>
      </c>
      <c r="J2" s="2" t="s">
        <v>226</v>
      </c>
      <c r="L2" s="2" t="s">
        <v>227</v>
      </c>
      <c r="N2" s="2" t="s">
        <v>228</v>
      </c>
      <c r="P2" s="2" t="s">
        <v>222</v>
      </c>
      <c r="Q2" s="2" t="s">
        <v>236</v>
      </c>
    </row>
    <row r="3" spans="1:42" ht="80.25" customHeight="1" x14ac:dyDescent="0.25">
      <c r="A3" s="2" t="s">
        <v>232</v>
      </c>
      <c r="B3" s="2" t="s">
        <v>219</v>
      </c>
      <c r="C3" s="8" t="s">
        <v>233</v>
      </c>
      <c r="F3" s="2" t="s">
        <v>224</v>
      </c>
      <c r="G3" s="8" t="s">
        <v>230</v>
      </c>
      <c r="H3" s="2" t="s">
        <v>225</v>
      </c>
      <c r="I3" s="8" t="s">
        <v>243</v>
      </c>
      <c r="J3" s="2" t="s">
        <v>226</v>
      </c>
      <c r="K3" s="8" t="s">
        <v>243</v>
      </c>
      <c r="L3" s="2" t="s">
        <v>227</v>
      </c>
      <c r="M3" s="2" t="s">
        <v>242</v>
      </c>
      <c r="N3" s="2" t="s">
        <v>228</v>
      </c>
      <c r="O3" s="8" t="s">
        <v>243</v>
      </c>
      <c r="P3" s="2" t="s">
        <v>222</v>
      </c>
      <c r="Q3" s="2" t="s">
        <v>223</v>
      </c>
    </row>
    <row r="4" spans="1:42" ht="80.25" customHeight="1" x14ac:dyDescent="0.25">
      <c r="A4" s="2" t="s">
        <v>248</v>
      </c>
      <c r="B4" s="2" t="s">
        <v>219</v>
      </c>
      <c r="C4" s="8" t="s">
        <v>250</v>
      </c>
      <c r="F4" s="2">
        <v>1</v>
      </c>
      <c r="G4" s="8"/>
      <c r="H4" s="2">
        <v>2</v>
      </c>
      <c r="I4" s="8"/>
      <c r="J4" s="2">
        <v>3</v>
      </c>
      <c r="K4" s="8"/>
      <c r="L4" s="2">
        <v>4</v>
      </c>
      <c r="N4" s="2" t="s">
        <v>249</v>
      </c>
      <c r="O4" s="8"/>
      <c r="P4" s="2" t="s">
        <v>222</v>
      </c>
    </row>
    <row r="5" spans="1:42" ht="80.25" customHeight="1" x14ac:dyDescent="0.25">
      <c r="A5" s="2" t="s">
        <v>244</v>
      </c>
      <c r="B5" s="2" t="s">
        <v>219</v>
      </c>
      <c r="C5" s="8" t="s">
        <v>254</v>
      </c>
      <c r="F5" s="2">
        <v>2</v>
      </c>
      <c r="G5" s="8"/>
      <c r="H5" s="2">
        <v>4</v>
      </c>
      <c r="I5" s="8"/>
      <c r="J5" s="2">
        <v>6</v>
      </c>
      <c r="K5" s="8"/>
      <c r="L5" s="2">
        <v>8</v>
      </c>
      <c r="N5" s="2" t="s">
        <v>249</v>
      </c>
      <c r="O5" s="8"/>
      <c r="P5" s="2" t="s">
        <v>222</v>
      </c>
    </row>
    <row r="6" spans="1:42" ht="80.25" customHeight="1" x14ac:dyDescent="0.25">
      <c r="A6" s="2" t="s">
        <v>245</v>
      </c>
      <c r="B6" s="2" t="s">
        <v>219</v>
      </c>
      <c r="C6" s="8" t="s">
        <v>255</v>
      </c>
      <c r="D6" s="8"/>
      <c r="G6" s="8"/>
    </row>
    <row r="7" spans="1:42" ht="80.25" customHeight="1" x14ac:dyDescent="0.25">
      <c r="C7" s="8" t="s">
        <v>251</v>
      </c>
      <c r="D7" s="8"/>
      <c r="G7" s="8"/>
    </row>
    <row r="8" spans="1:42" ht="80.25" customHeight="1" x14ac:dyDescent="0.25">
      <c r="A8" s="2" t="s">
        <v>237</v>
      </c>
      <c r="B8" s="2" t="s">
        <v>220</v>
      </c>
      <c r="C8" s="8" t="s">
        <v>252</v>
      </c>
      <c r="D8" s="8"/>
      <c r="F8" s="2" t="s">
        <v>238</v>
      </c>
      <c r="G8" s="8" t="s">
        <v>239</v>
      </c>
    </row>
    <row r="9" spans="1:42" ht="45" x14ac:dyDescent="0.25">
      <c r="A9" s="2" t="s">
        <v>221</v>
      </c>
      <c r="B9" s="2" t="s">
        <v>220</v>
      </c>
      <c r="C9" s="8" t="s">
        <v>251</v>
      </c>
      <c r="F9" s="2" t="s">
        <v>238</v>
      </c>
      <c r="G9" s="8" t="s">
        <v>241</v>
      </c>
    </row>
    <row r="10" spans="1:42" ht="45" x14ac:dyDescent="0.25">
      <c r="A10" s="2" t="s">
        <v>231</v>
      </c>
      <c r="B10" s="2" t="s">
        <v>220</v>
      </c>
      <c r="C10" s="8" t="s">
        <v>253</v>
      </c>
      <c r="F10" s="2" t="s">
        <v>238</v>
      </c>
      <c r="G10" s="8" t="s">
        <v>241</v>
      </c>
    </row>
    <row r="11" spans="1:42" ht="18" x14ac:dyDescent="0.35">
      <c r="A11" s="2" t="s">
        <v>246</v>
      </c>
      <c r="B11" s="2" t="s">
        <v>220</v>
      </c>
      <c r="D11" s="10"/>
      <c r="O11" s="10"/>
    </row>
    <row r="12" spans="1:42" x14ac:dyDescent="0.25">
      <c r="A12" s="2" t="s">
        <v>247</v>
      </c>
      <c r="B12" s="2" t="s">
        <v>220</v>
      </c>
    </row>
    <row r="13" spans="1:42" x14ac:dyDescent="0.25">
      <c r="A13" s="2" t="s">
        <v>221</v>
      </c>
      <c r="B13" s="2" t="s">
        <v>220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5"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6"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3F5FC-88CD-439B-9B8C-99BC363F7CCC}">
  <sheetPr codeName="Sheet5"/>
  <dimension ref="A1:AP15"/>
  <sheetViews>
    <sheetView workbookViewId="0">
      <pane ySplit="1" topLeftCell="A12" activePane="bottomLeft" state="frozen"/>
      <selection activeCell="A15" sqref="A1:XFD1048576"/>
      <selection pane="bottomLeft" activeCell="A15" sqref="A1:XFD1048576"/>
    </sheetView>
  </sheetViews>
  <sheetFormatPr defaultColWidth="8.85546875" defaultRowHeight="15" x14ac:dyDescent="0.25"/>
  <cols>
    <col min="1" max="1" width="10.85546875" style="2" customWidth="1"/>
    <col min="2" max="2" width="11.5703125" style="2" customWidth="1"/>
    <col min="3" max="3" width="10.140625" style="2" bestFit="1" customWidth="1"/>
    <col min="4" max="4" width="15.5703125" style="2" customWidth="1"/>
    <col min="5" max="5" width="22.42578125" style="2" customWidth="1"/>
    <col min="6" max="6" width="9.5703125" style="2" customWidth="1"/>
    <col min="7" max="7" width="19.7109375" style="2" customWidth="1"/>
    <col min="8" max="8" width="8.85546875" style="2" customWidth="1"/>
    <col min="9" max="9" width="15.140625" style="2" bestFit="1" customWidth="1"/>
    <col min="10" max="10" width="9.140625" style="2" customWidth="1"/>
    <col min="11" max="11" width="22.28515625" style="2" customWidth="1"/>
    <col min="12" max="12" width="8.5703125" style="2" customWidth="1"/>
    <col min="13" max="13" width="20.42578125" style="2" bestFit="1" customWidth="1"/>
    <col min="14" max="14" width="8.42578125" style="2" customWidth="1"/>
    <col min="15" max="15" width="15.140625" style="2" customWidth="1"/>
    <col min="16" max="16" width="8.7109375" style="2" customWidth="1"/>
    <col min="17" max="17" width="19.85546875" style="2" bestFit="1" customWidth="1"/>
    <col min="18" max="18" width="4.85546875" style="2" customWidth="1"/>
    <col min="19" max="19" width="20" style="2" bestFit="1" customWidth="1"/>
    <col min="20" max="20" width="19.85546875" style="2" bestFit="1" customWidth="1"/>
    <col min="21" max="21" width="15.140625" style="2" bestFit="1" customWidth="1"/>
    <col min="22" max="22" width="20" style="2" bestFit="1" customWidth="1"/>
    <col min="23" max="23" width="15.42578125" style="2" customWidth="1"/>
    <col min="24" max="24" width="15.140625" style="2" bestFit="1" customWidth="1"/>
    <col min="25" max="25" width="20" style="2" bestFit="1" customWidth="1"/>
    <col min="26" max="26" width="38.85546875" style="2" customWidth="1"/>
    <col min="27" max="27" width="20.7109375" style="2" customWidth="1"/>
    <col min="28" max="34" width="8.85546875" style="2"/>
    <col min="35" max="35" width="10.140625" style="2" customWidth="1"/>
    <col min="36" max="16384" width="8.85546875" style="2"/>
  </cols>
  <sheetData>
    <row r="1" spans="1:42" ht="44.25" customHeight="1" x14ac:dyDescent="0.25">
      <c r="A1" s="1" t="s">
        <v>0</v>
      </c>
      <c r="B1" s="1" t="s">
        <v>1</v>
      </c>
      <c r="C1" s="2" t="s">
        <v>2</v>
      </c>
      <c r="D1" s="3" t="s">
        <v>16</v>
      </c>
      <c r="E1" s="3" t="s">
        <v>15</v>
      </c>
      <c r="F1" s="2" t="s">
        <v>3</v>
      </c>
      <c r="G1" s="3" t="s">
        <v>9</v>
      </c>
      <c r="H1" s="2" t="s">
        <v>4</v>
      </c>
      <c r="I1" s="3" t="s">
        <v>10</v>
      </c>
      <c r="J1" s="2" t="s">
        <v>5</v>
      </c>
      <c r="K1" s="3" t="s">
        <v>11</v>
      </c>
      <c r="L1" s="2" t="s">
        <v>6</v>
      </c>
      <c r="M1" s="3" t="s">
        <v>12</v>
      </c>
      <c r="N1" s="2" t="s">
        <v>7</v>
      </c>
      <c r="O1" s="3" t="s">
        <v>13</v>
      </c>
      <c r="P1" s="2" t="s">
        <v>8</v>
      </c>
      <c r="Q1" s="4" t="s">
        <v>14</v>
      </c>
      <c r="R1" s="2" t="s">
        <v>18</v>
      </c>
      <c r="S1" s="5" t="s">
        <v>17</v>
      </c>
      <c r="T1" s="5" t="s">
        <v>19</v>
      </c>
      <c r="U1" s="5" t="s">
        <v>20</v>
      </c>
      <c r="V1" s="5" t="s">
        <v>21</v>
      </c>
      <c r="W1" s="5" t="s">
        <v>22</v>
      </c>
      <c r="X1" s="5" t="s">
        <v>23</v>
      </c>
      <c r="Y1" s="5" t="s">
        <v>24</v>
      </c>
      <c r="Z1" s="5" t="s">
        <v>31</v>
      </c>
      <c r="AA1" s="5" t="s">
        <v>54</v>
      </c>
      <c r="AB1" s="5" t="s">
        <v>55</v>
      </c>
      <c r="AC1" s="5" t="s">
        <v>56</v>
      </c>
      <c r="AD1" s="5" t="s">
        <v>57</v>
      </c>
      <c r="AE1" s="5" t="s">
        <v>58</v>
      </c>
      <c r="AF1" s="5" t="s">
        <v>59</v>
      </c>
      <c r="AG1" s="5" t="s">
        <v>155</v>
      </c>
      <c r="AH1" s="5" t="s">
        <v>154</v>
      </c>
      <c r="AI1" s="7" t="s">
        <v>156</v>
      </c>
      <c r="AJ1" s="7" t="s">
        <v>145</v>
      </c>
      <c r="AK1" s="7" t="s">
        <v>146</v>
      </c>
      <c r="AL1" s="7" t="s">
        <v>147</v>
      </c>
      <c r="AM1" s="7" t="s">
        <v>148</v>
      </c>
      <c r="AN1" s="7" t="s">
        <v>149</v>
      </c>
      <c r="AO1" s="7" t="s">
        <v>150</v>
      </c>
      <c r="AP1" s="7" t="s">
        <v>151</v>
      </c>
    </row>
    <row r="2" spans="1:42" x14ac:dyDescent="0.25">
      <c r="A2" s="2" t="s">
        <v>32</v>
      </c>
      <c r="B2" s="2" t="s">
        <v>33</v>
      </c>
      <c r="C2" s="2" t="s">
        <v>26</v>
      </c>
      <c r="D2" s="2" t="s">
        <v>30</v>
      </c>
      <c r="E2" s="2" t="s">
        <v>34</v>
      </c>
      <c r="F2" s="2" t="s">
        <v>27</v>
      </c>
      <c r="G2" s="2" t="s">
        <v>28</v>
      </c>
      <c r="H2" s="2" t="s">
        <v>35</v>
      </c>
      <c r="I2" s="2" t="s">
        <v>29</v>
      </c>
      <c r="R2" s="2" t="s">
        <v>25</v>
      </c>
      <c r="S2" s="2" t="s">
        <v>98</v>
      </c>
      <c r="T2" s="2" t="s">
        <v>80</v>
      </c>
      <c r="U2" s="2" t="s">
        <v>84</v>
      </c>
      <c r="Z2" s="2" t="s">
        <v>92</v>
      </c>
      <c r="AA2" s="2" t="str">
        <f t="shared" ref="AA2:AA15" si="0">IF(LEN(F2)&lt;&gt;0,_xlfn.CONCAT("dialogue.button.",SUBSTITUTE( LOWER( TRIM( SUBSTITUTE( SUBSTITUTE( SUBSTITUTE( SUBSTITUTE( SUBSTITUTE( SUBSTITUTE( SUBSTITUTE( SUBSTITUTE( SUBSTITUTE( F2, "("," "), ")"," "), "-"," "), ":"," "), ";"," "), "!"," "), ","," "), "?"," "), "."," ")))," ","_")),"")</f>
        <v>dialogue.button.need_food</v>
      </c>
      <c r="AB2" s="2" t="str">
        <f t="shared" ref="AB2:AB15" si="1">IF(LEN(H2)&lt;&gt;0,_xlfn.CONCAT("dialogue.button.",SUBSTITUTE( LOWER( TRIM( SUBSTITUTE( SUBSTITUTE( SUBSTITUTE( SUBSTITUTE( SUBSTITUTE( SUBSTITUTE( SUBSTITUTE( SUBSTITUTE( SUBSTITUTE( H2, "("," "), ")"," "), "-"," "), ":"," "), ";"," "), "!"," "), ","," "), "?"," "), "."," ")))," ","_")),"")</f>
        <v>dialogue.button.url_rules</v>
      </c>
      <c r="AC2" s="2" t="str">
        <f t="shared" ref="AC2:AC15" si="2">IF(LEN(J2)&lt;&gt;0,_xlfn.CONCAT("dialogue.button.",SUBSTITUTE( LOWER( TRIM( SUBSTITUTE( SUBSTITUTE( SUBSTITUTE( SUBSTITUTE( SUBSTITUTE( SUBSTITUTE( SUBSTITUTE( SUBSTITUTE( SUBSTITUTE( J2, "("," "), ")"," "), "-"," "), ":"," "), ";"," "), "!"," "), ","," "), "?"," "), "."," ")))," ","_")),"")</f>
        <v/>
      </c>
      <c r="AD2" s="2" t="str">
        <f t="shared" ref="AD2:AD15" si="3">IF(LEN(L2)&lt;&gt;0,_xlfn.CONCAT("dialogue.button.",SUBSTITUTE( LOWER( TRIM( SUBSTITUTE( SUBSTITUTE( SUBSTITUTE( SUBSTITUTE( SUBSTITUTE( SUBSTITUTE( SUBSTITUTE( SUBSTITUTE( SUBSTITUTE( L2, "("," "), ")"," "), "-"," "), ":"," "), ";"," "), "!"," "), ","," "), "?"," "), "."," ")))," ","_")),"")</f>
        <v/>
      </c>
      <c r="AE2" s="2" t="str">
        <f t="shared" ref="AE2:AE15" si="4">IF(LEN(N2)&lt;&gt;0,_xlfn.CONCAT("dialogue.button.",SUBSTITUTE( LOWER( TRIM( SUBSTITUTE( SUBSTITUTE( SUBSTITUTE( SUBSTITUTE( SUBSTITUTE( SUBSTITUTE( SUBSTITUTE( SUBSTITUTE( SUBSTITUTE( N2, "("," "), ")"," "), "-"," "), ":"," "), ";"," "), "!"," "), ","," "), "?"," "), "."," ")))," ","_")),"")</f>
        <v/>
      </c>
      <c r="AF2" s="2" t="str">
        <f t="shared" ref="AF2:AF15" si="5">IF(LEN(P2)&lt;&gt;0,_xlfn.CONCAT("dialogue.button.",SUBSTITUTE( LOWER( TRIM( SUBSTITUTE( SUBSTITUTE( SUBSTITUTE( SUBSTITUTE( SUBSTITUTE( SUBSTITUTE( SUBSTITUTE( SUBSTITUTE( SUBSTITUTE( P2, "("," "), ")"," "), "-"," "), ":"," "), ";"," "), "!"," "), ","," "), "?"," "), "."," ")))," ","_")),"")</f>
        <v/>
      </c>
      <c r="AG2" s="2" t="str">
        <f t="shared" ref="AG2:AG15" si="6">IF(LEN(B2)&lt;&gt;0,_xlfn.CONCAT("dialogue.npc_name.",SUBSTITUTE( LOWER( TRIM( SUBSTITUTE( SUBSTITUTE( SUBSTITUTE( SUBSTITUTE( SUBSTITUTE( SUBSTITUTE( SUBSTITUTE( SUBSTITUTE( SUBSTITUTE( B2, "("," "), ")"," "), "-"," "), ":"," "), ";"," "), "!"," "), ","," "), "?"," "), "."," ")))," ","_")),"")</f>
        <v>dialogue.npc_name.john_doe</v>
      </c>
      <c r="AH2" s="2" t="s">
        <v>173</v>
      </c>
    </row>
    <row r="3" spans="1:42" x14ac:dyDescent="0.25">
      <c r="A3" s="2" t="s">
        <v>109</v>
      </c>
      <c r="B3" s="2" t="s">
        <v>110</v>
      </c>
      <c r="C3" s="2" t="s">
        <v>111</v>
      </c>
      <c r="F3" s="2" t="s">
        <v>35</v>
      </c>
      <c r="G3" s="2" t="s">
        <v>29</v>
      </c>
      <c r="S3" s="2" t="s">
        <v>112</v>
      </c>
      <c r="T3" s="2" t="s">
        <v>84</v>
      </c>
      <c r="V3" s="2" t="s">
        <v>180</v>
      </c>
      <c r="W3" s="2" t="s">
        <v>180</v>
      </c>
      <c r="X3" s="2" t="s">
        <v>180</v>
      </c>
      <c r="Y3" s="2" t="s">
        <v>180</v>
      </c>
      <c r="Z3" s="2" t="s">
        <v>113</v>
      </c>
      <c r="AA3" s="2" t="str">
        <f t="shared" si="0"/>
        <v>dialogue.button.url_rules</v>
      </c>
      <c r="AB3" s="2" t="str">
        <f t="shared" si="1"/>
        <v/>
      </c>
      <c r="AC3" s="2" t="str">
        <f t="shared" si="2"/>
        <v/>
      </c>
      <c r="AD3" s="2" t="str">
        <f t="shared" si="3"/>
        <v/>
      </c>
      <c r="AE3" s="2" t="str">
        <f t="shared" si="4"/>
        <v/>
      </c>
      <c r="AF3" s="2" t="str">
        <f t="shared" si="5"/>
        <v/>
      </c>
      <c r="AG3" s="2" t="str">
        <f t="shared" si="6"/>
        <v>dialogue.npc_name.url</v>
      </c>
      <c r="AH3" s="2" t="s">
        <v>174</v>
      </c>
    </row>
    <row r="4" spans="1:42" x14ac:dyDescent="0.25">
      <c r="A4" s="2" t="s">
        <v>103</v>
      </c>
      <c r="B4" s="2" t="s">
        <v>79</v>
      </c>
      <c r="C4" s="2" t="s">
        <v>104</v>
      </c>
      <c r="S4" s="2" t="s">
        <v>106</v>
      </c>
      <c r="U4" s="2" t="s">
        <v>180</v>
      </c>
      <c r="V4" s="2" t="s">
        <v>181</v>
      </c>
      <c r="W4" s="2" t="s">
        <v>181</v>
      </c>
      <c r="X4" s="2" t="s">
        <v>181</v>
      </c>
      <c r="Y4" s="2" t="s">
        <v>181</v>
      </c>
      <c r="Z4" s="2" t="s">
        <v>96</v>
      </c>
      <c r="AA4" s="2" t="str">
        <f t="shared" si="0"/>
        <v/>
      </c>
      <c r="AB4" s="2" t="str">
        <f t="shared" si="1"/>
        <v/>
      </c>
      <c r="AC4" s="2" t="str">
        <f t="shared" si="2"/>
        <v/>
      </c>
      <c r="AD4" s="2" t="str">
        <f t="shared" si="3"/>
        <v/>
      </c>
      <c r="AE4" s="2" t="str">
        <f t="shared" si="4"/>
        <v/>
      </c>
      <c r="AF4" s="2" t="str">
        <f t="shared" si="5"/>
        <v/>
      </c>
      <c r="AG4" s="2" t="str">
        <f t="shared" si="6"/>
        <v>dialogue.npc_name.none</v>
      </c>
      <c r="AH4" s="2" t="s">
        <v>175</v>
      </c>
    </row>
    <row r="5" spans="1:42" x14ac:dyDescent="0.25">
      <c r="A5" s="2" t="s">
        <v>36</v>
      </c>
      <c r="B5" s="2" t="s">
        <v>37</v>
      </c>
      <c r="C5" s="2" t="s">
        <v>38</v>
      </c>
      <c r="F5" s="2" t="s">
        <v>39</v>
      </c>
      <c r="G5" s="2" t="s">
        <v>40</v>
      </c>
      <c r="H5" s="2" t="s">
        <v>41</v>
      </c>
      <c r="I5" s="2" t="s">
        <v>42</v>
      </c>
      <c r="J5" s="2" t="s">
        <v>35</v>
      </c>
      <c r="K5" s="2" t="s">
        <v>29</v>
      </c>
      <c r="S5" s="2" t="s">
        <v>99</v>
      </c>
      <c r="T5" s="2" t="s">
        <v>81</v>
      </c>
      <c r="U5" s="2" t="s">
        <v>85</v>
      </c>
      <c r="V5" s="2" t="s">
        <v>84</v>
      </c>
      <c r="W5" s="2" t="s">
        <v>182</v>
      </c>
      <c r="X5" s="2" t="s">
        <v>182</v>
      </c>
      <c r="Y5" s="2" t="s">
        <v>182</v>
      </c>
      <c r="Z5" s="2" t="s">
        <v>93</v>
      </c>
      <c r="AA5" s="2" t="str">
        <f t="shared" si="0"/>
        <v>dialogue.button.does_this_work</v>
      </c>
      <c r="AB5" s="2" t="str">
        <f t="shared" si="1"/>
        <v>dialogue.button.help_test</v>
      </c>
      <c r="AC5" s="2" t="str">
        <f t="shared" si="2"/>
        <v>dialogue.button.url_rules</v>
      </c>
      <c r="AD5" s="2" t="str">
        <f t="shared" si="3"/>
        <v/>
      </c>
      <c r="AE5" s="2" t="str">
        <f t="shared" si="4"/>
        <v/>
      </c>
      <c r="AF5" s="2" t="str">
        <f t="shared" si="5"/>
        <v/>
      </c>
      <c r="AG5" s="2" t="str">
        <f t="shared" si="6"/>
        <v>dialogue.npc_name.allison</v>
      </c>
      <c r="AH5" s="2" t="s">
        <v>176</v>
      </c>
    </row>
    <row r="6" spans="1:42" x14ac:dyDescent="0.25">
      <c r="A6" s="2" t="s">
        <v>43</v>
      </c>
      <c r="B6" s="2" t="s">
        <v>44</v>
      </c>
      <c r="C6" s="2" t="s">
        <v>45</v>
      </c>
      <c r="D6" s="2" t="s">
        <v>46</v>
      </c>
      <c r="E6" s="2" t="s">
        <v>47</v>
      </c>
      <c r="F6" s="2">
        <v>1</v>
      </c>
      <c r="G6" s="2" t="s">
        <v>48</v>
      </c>
      <c r="H6" s="2">
        <v>2</v>
      </c>
      <c r="I6" s="2" t="s">
        <v>49</v>
      </c>
      <c r="J6" s="2">
        <v>3</v>
      </c>
      <c r="K6" s="2" t="s">
        <v>53</v>
      </c>
      <c r="L6" s="2">
        <v>4</v>
      </c>
      <c r="M6" s="2" t="s">
        <v>50</v>
      </c>
      <c r="N6" s="2">
        <v>5</v>
      </c>
      <c r="O6" s="2" t="s">
        <v>51</v>
      </c>
      <c r="P6" s="2">
        <v>6</v>
      </c>
      <c r="Q6" s="2" t="s">
        <v>52</v>
      </c>
      <c r="S6" s="2" t="s">
        <v>100</v>
      </c>
      <c r="T6" s="2" t="s">
        <v>82</v>
      </c>
      <c r="U6" s="2" t="s">
        <v>86</v>
      </c>
      <c r="V6" s="2" t="s">
        <v>88</v>
      </c>
      <c r="W6" s="2" t="s">
        <v>89</v>
      </c>
      <c r="X6" s="2" t="s">
        <v>90</v>
      </c>
      <c r="Y6" s="2" t="s">
        <v>91</v>
      </c>
      <c r="Z6" s="2" t="s">
        <v>94</v>
      </c>
      <c r="AA6" s="2" t="str">
        <f t="shared" si="0"/>
        <v>dialogue.button.1</v>
      </c>
      <c r="AB6" s="2" t="str">
        <f t="shared" si="1"/>
        <v>dialogue.button.2</v>
      </c>
      <c r="AC6" s="2" t="str">
        <f t="shared" si="2"/>
        <v>dialogue.button.3</v>
      </c>
      <c r="AD6" s="2" t="str">
        <f t="shared" si="3"/>
        <v>dialogue.button.4</v>
      </c>
      <c r="AE6" s="2" t="str">
        <f t="shared" si="4"/>
        <v>dialogue.button.5</v>
      </c>
      <c r="AF6" s="2" t="str">
        <f t="shared" si="5"/>
        <v>dialogue.button.6</v>
      </c>
      <c r="AG6" s="2" t="str">
        <f t="shared" si="6"/>
        <v>dialogue.npc_name.robot</v>
      </c>
      <c r="AH6" s="2" t="s">
        <v>177</v>
      </c>
    </row>
    <row r="7" spans="1:42" ht="87" customHeight="1" x14ac:dyDescent="0.25">
      <c r="A7" s="2" t="s">
        <v>74</v>
      </c>
      <c r="B7" s="2" t="s">
        <v>75</v>
      </c>
      <c r="C7" s="8" t="s">
        <v>97</v>
      </c>
      <c r="F7" s="2" t="s">
        <v>76</v>
      </c>
      <c r="H7" s="2" t="s">
        <v>77</v>
      </c>
      <c r="J7" s="2" t="s">
        <v>35</v>
      </c>
      <c r="K7" s="2" t="s">
        <v>29</v>
      </c>
      <c r="R7" s="2" t="s">
        <v>78</v>
      </c>
      <c r="S7" s="2" t="s">
        <v>101</v>
      </c>
      <c r="T7" s="2" t="s">
        <v>83</v>
      </c>
      <c r="U7" s="2" t="s">
        <v>87</v>
      </c>
      <c r="V7" s="2" t="s">
        <v>179</v>
      </c>
      <c r="W7" s="2" t="s">
        <v>183</v>
      </c>
      <c r="X7" s="2" t="s">
        <v>183</v>
      </c>
      <c r="Y7" s="2" t="s">
        <v>183</v>
      </c>
      <c r="Z7" s="2" t="s">
        <v>95</v>
      </c>
      <c r="AA7" s="2" t="str">
        <f t="shared" si="0"/>
        <v>dialogue.button.ñ_á_é</v>
      </c>
      <c r="AB7" s="2" t="str">
        <f t="shared" si="1"/>
        <v>dialogue.button.í_ó_ú</v>
      </c>
      <c r="AC7" s="2" t="str">
        <f t="shared" si="2"/>
        <v>dialogue.button.url_rules</v>
      </c>
      <c r="AD7" s="2" t="str">
        <f t="shared" si="3"/>
        <v/>
      </c>
      <c r="AE7" s="2" t="str">
        <f t="shared" si="4"/>
        <v/>
      </c>
      <c r="AF7" s="2" t="str">
        <f t="shared" si="5"/>
        <v/>
      </c>
      <c r="AG7" s="2" t="str">
        <f t="shared" si="6"/>
        <v>dialogue.npc_name.testname</v>
      </c>
      <c r="AH7" s="2" t="s">
        <v>178</v>
      </c>
    </row>
    <row r="8" spans="1:42" x14ac:dyDescent="0.25">
      <c r="A8" s="2" t="s">
        <v>102</v>
      </c>
      <c r="B8" s="2" t="s">
        <v>79</v>
      </c>
      <c r="C8" s="2" t="s">
        <v>105</v>
      </c>
      <c r="F8" s="2" t="s">
        <v>35</v>
      </c>
      <c r="G8" s="2" t="s">
        <v>29</v>
      </c>
      <c r="S8" s="2" t="s">
        <v>107</v>
      </c>
      <c r="T8" s="2" t="s">
        <v>179</v>
      </c>
      <c r="U8" s="2" t="s">
        <v>181</v>
      </c>
      <c r="V8" s="2" t="s">
        <v>182</v>
      </c>
      <c r="W8" s="2" t="s">
        <v>184</v>
      </c>
      <c r="X8" s="2" t="s">
        <v>184</v>
      </c>
      <c r="Y8" s="2" t="s">
        <v>184</v>
      </c>
      <c r="Z8" s="2" t="s">
        <v>96</v>
      </c>
      <c r="AA8" s="2" t="str">
        <f t="shared" si="0"/>
        <v>dialogue.button.url_rules</v>
      </c>
      <c r="AB8" s="2" t="str">
        <f t="shared" si="1"/>
        <v/>
      </c>
      <c r="AC8" s="2" t="str">
        <f t="shared" si="2"/>
        <v/>
      </c>
      <c r="AD8" s="2" t="str">
        <f t="shared" si="3"/>
        <v/>
      </c>
      <c r="AE8" s="2" t="str">
        <f t="shared" si="4"/>
        <v/>
      </c>
      <c r="AF8" s="2" t="str">
        <f t="shared" si="5"/>
        <v/>
      </c>
      <c r="AG8" s="2" t="str">
        <f t="shared" si="6"/>
        <v>dialogue.npc_name.none</v>
      </c>
      <c r="AH8" s="2" t="s">
        <v>175</v>
      </c>
    </row>
    <row r="9" spans="1:42" x14ac:dyDescent="0.25">
      <c r="A9" s="2" t="s">
        <v>204</v>
      </c>
      <c r="B9" s="2" t="s">
        <v>33</v>
      </c>
      <c r="C9" s="2" t="s">
        <v>26</v>
      </c>
      <c r="D9" s="2" t="s">
        <v>30</v>
      </c>
      <c r="E9" s="2" t="s">
        <v>34</v>
      </c>
      <c r="F9" s="2" t="s">
        <v>27</v>
      </c>
      <c r="G9" s="2" t="s">
        <v>28</v>
      </c>
      <c r="H9" s="2" t="s">
        <v>35</v>
      </c>
      <c r="I9" s="2" t="s">
        <v>29</v>
      </c>
      <c r="S9" s="2" t="s">
        <v>211</v>
      </c>
      <c r="T9" s="2" t="s">
        <v>185</v>
      </c>
      <c r="U9" s="2" t="s">
        <v>179</v>
      </c>
      <c r="V9" s="2" t="s">
        <v>183</v>
      </c>
      <c r="W9" s="2" t="s">
        <v>194</v>
      </c>
      <c r="X9" s="2" t="s">
        <v>194</v>
      </c>
      <c r="Y9" s="2" t="s">
        <v>194</v>
      </c>
      <c r="Z9" s="2" t="s">
        <v>92</v>
      </c>
      <c r="AA9" s="2" t="str">
        <f t="shared" si="0"/>
        <v>dialogue.button.need_food</v>
      </c>
      <c r="AB9" s="2" t="str">
        <f t="shared" si="1"/>
        <v>dialogue.button.url_rules</v>
      </c>
      <c r="AC9" s="2" t="str">
        <f t="shared" si="2"/>
        <v/>
      </c>
      <c r="AD9" s="2" t="str">
        <f t="shared" si="3"/>
        <v/>
      </c>
      <c r="AE9" s="2" t="str">
        <f t="shared" si="4"/>
        <v/>
      </c>
      <c r="AF9" s="2" t="str">
        <f t="shared" si="5"/>
        <v/>
      </c>
      <c r="AG9" s="2" t="str">
        <f t="shared" si="6"/>
        <v>dialogue.npc_name.john_doe</v>
      </c>
      <c r="AH9" s="2" t="s">
        <v>173</v>
      </c>
    </row>
    <row r="10" spans="1:42" x14ac:dyDescent="0.25">
      <c r="A10" s="2" t="s">
        <v>205</v>
      </c>
      <c r="B10" s="2" t="s">
        <v>110</v>
      </c>
      <c r="C10" s="2" t="s">
        <v>111</v>
      </c>
      <c r="F10" s="2" t="s">
        <v>35</v>
      </c>
      <c r="G10" s="2" t="s">
        <v>29</v>
      </c>
      <c r="S10" s="2" t="s">
        <v>212</v>
      </c>
      <c r="T10" s="2" t="s">
        <v>186</v>
      </c>
      <c r="U10" s="2" t="s">
        <v>182</v>
      </c>
      <c r="V10" s="2" t="s">
        <v>184</v>
      </c>
      <c r="W10" s="2" t="s">
        <v>196</v>
      </c>
      <c r="X10" s="2" t="s">
        <v>196</v>
      </c>
      <c r="Y10" s="2" t="s">
        <v>196</v>
      </c>
      <c r="Z10" s="2" t="s">
        <v>113</v>
      </c>
      <c r="AA10" s="2" t="str">
        <f t="shared" si="0"/>
        <v>dialogue.button.url_rules</v>
      </c>
      <c r="AB10" s="2" t="str">
        <f t="shared" si="1"/>
        <v/>
      </c>
      <c r="AC10" s="2" t="str">
        <f t="shared" si="2"/>
        <v/>
      </c>
      <c r="AD10" s="2" t="str">
        <f t="shared" si="3"/>
        <v/>
      </c>
      <c r="AE10" s="2" t="str">
        <f t="shared" si="4"/>
        <v/>
      </c>
      <c r="AF10" s="2" t="str">
        <f t="shared" si="5"/>
        <v/>
      </c>
      <c r="AG10" s="2" t="str">
        <f t="shared" si="6"/>
        <v>dialogue.npc_name.url</v>
      </c>
      <c r="AH10" s="2" t="s">
        <v>174</v>
      </c>
    </row>
    <row r="11" spans="1:42" x14ac:dyDescent="0.25">
      <c r="A11" s="2" t="s">
        <v>206</v>
      </c>
      <c r="B11" s="2" t="s">
        <v>79</v>
      </c>
      <c r="C11" s="2" t="s">
        <v>104</v>
      </c>
      <c r="S11" s="2" t="s">
        <v>213</v>
      </c>
      <c r="T11" s="2" t="s">
        <v>180</v>
      </c>
      <c r="U11" s="2" t="s">
        <v>183</v>
      </c>
      <c r="V11" s="2" t="s">
        <v>194</v>
      </c>
      <c r="W11" s="2" t="s">
        <v>197</v>
      </c>
      <c r="X11" s="2" t="s">
        <v>197</v>
      </c>
      <c r="Y11" s="2" t="s">
        <v>197</v>
      </c>
      <c r="Z11" s="2" t="s">
        <v>96</v>
      </c>
      <c r="AA11" s="2" t="str">
        <f t="shared" si="0"/>
        <v/>
      </c>
      <c r="AB11" s="2" t="str">
        <f t="shared" si="1"/>
        <v/>
      </c>
      <c r="AC11" s="2" t="str">
        <f t="shared" si="2"/>
        <v/>
      </c>
      <c r="AD11" s="2" t="str">
        <f t="shared" si="3"/>
        <v/>
      </c>
      <c r="AE11" s="2" t="str">
        <f t="shared" si="4"/>
        <v/>
      </c>
      <c r="AF11" s="2" t="str">
        <f t="shared" si="5"/>
        <v/>
      </c>
      <c r="AG11" s="2" t="str">
        <f t="shared" si="6"/>
        <v>dialogue.npc_name.none</v>
      </c>
      <c r="AH11" s="2" t="s">
        <v>175</v>
      </c>
    </row>
    <row r="12" spans="1:42" x14ac:dyDescent="0.25">
      <c r="A12" s="2" t="s">
        <v>207</v>
      </c>
      <c r="B12" s="2" t="s">
        <v>37</v>
      </c>
      <c r="C12" s="2" t="s">
        <v>38</v>
      </c>
      <c r="F12" s="2" t="s">
        <v>39</v>
      </c>
      <c r="G12" s="2" t="s">
        <v>40</v>
      </c>
      <c r="H12" s="2" t="s">
        <v>41</v>
      </c>
      <c r="I12" s="2" t="s">
        <v>42</v>
      </c>
      <c r="J12" s="2" t="s">
        <v>35</v>
      </c>
      <c r="K12" s="2" t="s">
        <v>29</v>
      </c>
      <c r="S12" s="2" t="s">
        <v>214</v>
      </c>
      <c r="T12" s="2" t="s">
        <v>187</v>
      </c>
      <c r="U12" s="2" t="s">
        <v>191</v>
      </c>
      <c r="V12" s="2" t="s">
        <v>186</v>
      </c>
      <c r="W12" s="2" t="s">
        <v>198</v>
      </c>
      <c r="X12" s="2" t="s">
        <v>198</v>
      </c>
      <c r="Y12" s="2" t="s">
        <v>198</v>
      </c>
      <c r="Z12" s="2" t="s">
        <v>93</v>
      </c>
      <c r="AA12" s="2" t="str">
        <f t="shared" si="0"/>
        <v>dialogue.button.does_this_work</v>
      </c>
      <c r="AB12" s="2" t="str">
        <f t="shared" si="1"/>
        <v>dialogue.button.help_test</v>
      </c>
      <c r="AC12" s="2" t="str">
        <f t="shared" si="2"/>
        <v>dialogue.button.url_rules</v>
      </c>
      <c r="AD12" s="2" t="str">
        <f t="shared" si="3"/>
        <v/>
      </c>
      <c r="AE12" s="2" t="str">
        <f t="shared" si="4"/>
        <v/>
      </c>
      <c r="AF12" s="2" t="str">
        <f t="shared" si="5"/>
        <v/>
      </c>
      <c r="AG12" s="2" t="str">
        <f t="shared" si="6"/>
        <v>dialogue.npc_name.allison</v>
      </c>
      <c r="AH12" s="2" t="s">
        <v>176</v>
      </c>
    </row>
    <row r="13" spans="1:42" x14ac:dyDescent="0.25">
      <c r="A13" s="2" t="s">
        <v>208</v>
      </c>
      <c r="B13" s="2" t="s">
        <v>44</v>
      </c>
      <c r="C13" s="2" t="s">
        <v>45</v>
      </c>
      <c r="D13" s="2" t="s">
        <v>46</v>
      </c>
      <c r="E13" s="2" t="s">
        <v>47</v>
      </c>
      <c r="F13" s="2">
        <v>1</v>
      </c>
      <c r="G13" s="2" t="s">
        <v>48</v>
      </c>
      <c r="H13" s="2">
        <v>2</v>
      </c>
      <c r="I13" s="2" t="s">
        <v>49</v>
      </c>
      <c r="J13" s="2">
        <v>3</v>
      </c>
      <c r="K13" s="2" t="s">
        <v>53</v>
      </c>
      <c r="L13" s="2">
        <v>4</v>
      </c>
      <c r="M13" s="2" t="s">
        <v>50</v>
      </c>
      <c r="N13" s="2">
        <v>5</v>
      </c>
      <c r="O13" s="2" t="s">
        <v>51</v>
      </c>
      <c r="P13" s="2">
        <v>6</v>
      </c>
      <c r="Q13" s="2" t="s">
        <v>52</v>
      </c>
      <c r="S13" s="2" t="s">
        <v>215</v>
      </c>
      <c r="T13" s="2" t="s">
        <v>188</v>
      </c>
      <c r="U13" s="2" t="s">
        <v>192</v>
      </c>
      <c r="V13" s="2" t="s">
        <v>195</v>
      </c>
      <c r="W13" s="2" t="s">
        <v>199</v>
      </c>
      <c r="X13" s="2" t="s">
        <v>202</v>
      </c>
      <c r="Y13" s="2" t="s">
        <v>203</v>
      </c>
      <c r="Z13" s="2" t="s">
        <v>94</v>
      </c>
      <c r="AA13" s="2" t="str">
        <f t="shared" si="0"/>
        <v>dialogue.button.1</v>
      </c>
      <c r="AB13" s="2" t="str">
        <f t="shared" si="1"/>
        <v>dialogue.button.2</v>
      </c>
      <c r="AC13" s="2" t="str">
        <f t="shared" si="2"/>
        <v>dialogue.button.3</v>
      </c>
      <c r="AD13" s="2" t="str">
        <f t="shared" si="3"/>
        <v>dialogue.button.4</v>
      </c>
      <c r="AE13" s="2" t="str">
        <f t="shared" si="4"/>
        <v>dialogue.button.5</v>
      </c>
      <c r="AF13" s="2" t="str">
        <f t="shared" si="5"/>
        <v>dialogue.button.6</v>
      </c>
      <c r="AG13" s="2" t="str">
        <f t="shared" si="6"/>
        <v>dialogue.npc_name.robot</v>
      </c>
      <c r="AH13" s="2" t="s">
        <v>177</v>
      </c>
    </row>
    <row r="14" spans="1:42" ht="180" x14ac:dyDescent="0.25">
      <c r="A14" s="2" t="s">
        <v>209</v>
      </c>
      <c r="B14" s="2" t="s">
        <v>75</v>
      </c>
      <c r="C14" s="8" t="s">
        <v>97</v>
      </c>
      <c r="F14" s="2" t="s">
        <v>76</v>
      </c>
      <c r="H14" s="2" t="s">
        <v>77</v>
      </c>
      <c r="J14" s="2" t="s">
        <v>35</v>
      </c>
      <c r="K14" s="2" t="s">
        <v>29</v>
      </c>
      <c r="S14" s="2" t="s">
        <v>216</v>
      </c>
      <c r="T14" s="2" t="s">
        <v>189</v>
      </c>
      <c r="U14" s="2" t="s">
        <v>193</v>
      </c>
      <c r="V14" s="2" t="s">
        <v>190</v>
      </c>
      <c r="W14" s="2" t="s">
        <v>200</v>
      </c>
      <c r="X14" s="2" t="s">
        <v>200</v>
      </c>
      <c r="Y14" s="2" t="s">
        <v>200</v>
      </c>
      <c r="Z14" s="2" t="s">
        <v>95</v>
      </c>
      <c r="AA14" s="2" t="str">
        <f t="shared" si="0"/>
        <v>dialogue.button.ñ_á_é</v>
      </c>
      <c r="AB14" s="2" t="str">
        <f t="shared" si="1"/>
        <v>dialogue.button.í_ó_ú</v>
      </c>
      <c r="AC14" s="2" t="str">
        <f t="shared" si="2"/>
        <v>dialogue.button.url_rules</v>
      </c>
      <c r="AD14" s="2" t="str">
        <f t="shared" si="3"/>
        <v/>
      </c>
      <c r="AE14" s="2" t="str">
        <f t="shared" si="4"/>
        <v/>
      </c>
      <c r="AF14" s="2" t="str">
        <f t="shared" si="5"/>
        <v/>
      </c>
      <c r="AG14" s="2" t="str">
        <f t="shared" si="6"/>
        <v>dialogue.npc_name.testname</v>
      </c>
      <c r="AH14" s="2" t="s">
        <v>178</v>
      </c>
    </row>
    <row r="15" spans="1:42" x14ac:dyDescent="0.25">
      <c r="A15" s="2" t="s">
        <v>210</v>
      </c>
      <c r="B15" s="2" t="s">
        <v>79</v>
      </c>
      <c r="C15" s="2" t="s">
        <v>105</v>
      </c>
      <c r="F15" s="2" t="s">
        <v>35</v>
      </c>
      <c r="G15" s="2" t="s">
        <v>29</v>
      </c>
      <c r="S15" s="2" t="s">
        <v>217</v>
      </c>
      <c r="T15" s="2" t="s">
        <v>190</v>
      </c>
      <c r="U15" s="2" t="s">
        <v>184</v>
      </c>
      <c r="V15" s="2" t="s">
        <v>196</v>
      </c>
      <c r="W15" s="2" t="s">
        <v>201</v>
      </c>
      <c r="X15" s="2" t="s">
        <v>201</v>
      </c>
      <c r="Y15" s="2" t="s">
        <v>201</v>
      </c>
      <c r="Z15" s="2" t="s">
        <v>96</v>
      </c>
      <c r="AA15" s="2" t="str">
        <f t="shared" si="0"/>
        <v>dialogue.button.url_rules</v>
      </c>
      <c r="AB15" s="2" t="str">
        <f t="shared" si="1"/>
        <v/>
      </c>
      <c r="AC15" s="2" t="str">
        <f t="shared" si="2"/>
        <v/>
      </c>
      <c r="AD15" s="2" t="str">
        <f t="shared" si="3"/>
        <v/>
      </c>
      <c r="AE15" s="2" t="str">
        <f t="shared" si="4"/>
        <v/>
      </c>
      <c r="AF15" s="2" t="str">
        <f t="shared" si="5"/>
        <v/>
      </c>
      <c r="AG15" s="2" t="str">
        <f t="shared" si="6"/>
        <v>dialogue.npc_name.none</v>
      </c>
      <c r="AH15" s="2" t="s">
        <v>175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8194"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Field descriptions</vt:lpstr>
      <vt:lpstr>NPC_Tool_test_examples</vt:lpstr>
      <vt:lpstr>NPCToolTest_blank</vt:lpstr>
      <vt:lpstr>Math_Challenge</vt:lpstr>
      <vt:lpstr>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tclyn</dc:creator>
  <cp:lastModifiedBy>Aleece Landis</cp:lastModifiedBy>
  <cp:lastPrinted>2023-07-17T18:17:48Z</cp:lastPrinted>
  <dcterms:created xsi:type="dcterms:W3CDTF">2023-07-09T16:14:35Z</dcterms:created>
  <dcterms:modified xsi:type="dcterms:W3CDTF">2023-10-02T00:15:34Z</dcterms:modified>
</cp:coreProperties>
</file>